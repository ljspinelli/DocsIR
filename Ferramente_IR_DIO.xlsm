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f992c434d940fa3/Cursos e Outros/Cursos DIO/Bootcamp Satander Excel IA e Claude/"/>
    </mc:Choice>
  </mc:AlternateContent>
  <xr:revisionPtr revIDLastSave="636" documentId="8_{BF40A764-A7FD-49AA-BF07-2DA893F532EB}" xr6:coauthVersionLast="47" xr6:coauthVersionMax="47" xr10:uidLastSave="{B61AC99C-4AFB-408B-A3A0-5635757977E1}"/>
  <bookViews>
    <workbookView xWindow="-80" yWindow="-80" windowWidth="19360" windowHeight="11440" activeTab="2" xr2:uid="{7D2A5463-97E7-47DE-B224-6B89E3796483}"/>
  </bookViews>
  <sheets>
    <sheet name="Titular" sheetId="1" r:id="rId1"/>
    <sheet name="Informes" sheetId="2" r:id="rId2"/>
    <sheet name="Notas" sheetId="3" r:id="rId3"/>
    <sheet name="Tabelas" sheetId="4" state="hidden" r:id="rId4"/>
  </sheets>
  <definedNames>
    <definedName name="_xlnm.Print_Area" localSheetId="2">Notas!$A$1:$G$40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2" i="2" l="1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sharedStrings.xml><?xml version="1.0" encoding="utf-8"?>
<sst xmlns="http://schemas.openxmlformats.org/spreadsheetml/2006/main" count="200" uniqueCount="189">
  <si>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</si>
  <si>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</si>
  <si>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</si>
  <si>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</si>
  <si>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</si>
  <si>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</si>
  <si>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</si>
  <si>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</si>
  <si>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</si>
  <si>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</si>
  <si>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</si>
  <si>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</si>
  <si>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</si>
  <si>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</si>
  <si>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DADOS DO TITULAR</t>
  </si>
  <si>
    <t>NÃO</t>
  </si>
  <si>
    <t>contabilidade@spincorp.com.br</t>
  </si>
  <si>
    <t>Fulano da Silva Sauro</t>
  </si>
  <si>
    <t>Elane da Silva Sauro</t>
  </si>
  <si>
    <t>Rua do Beco 69</t>
  </si>
  <si>
    <t>R do Beco 69</t>
  </si>
  <si>
    <t>(11) 9 8521-3214</t>
  </si>
  <si>
    <t>SIM</t>
  </si>
  <si>
    <t>BANCO</t>
  </si>
  <si>
    <t>BANCO DO BRASIL S.A.</t>
  </si>
  <si>
    <t>BANCO DA AMAZONIA S.A.</t>
  </si>
  <si>
    <t>BANCO DO NORDESTE DO BRASIL S.A.</t>
  </si>
  <si>
    <t>BANCO NACIONAL DE DESENVOLVIMENTO ECONOMICO E SOCIAL</t>
  </si>
  <si>
    <t>BANCO INBURSA S.A.</t>
  </si>
  <si>
    <t>STATE STREET BRASIL S.A. - BANCO COMERCIAL</t>
  </si>
  <si>
    <t>BNY MELLON BANCO S.A.</t>
  </si>
  <si>
    <t>BANCO TRICURY S.A.</t>
  </si>
  <si>
    <t>BANESTES S.A. BANCO DO ESTADO DO ESPIRITO SANTO</t>
  </si>
  <si>
    <t>BANCO BANDEPE S.A.</t>
  </si>
  <si>
    <t>BANCO ALFA S.A.</t>
  </si>
  <si>
    <t>BANCO SANTANDER (BRASIL) S.A.</t>
  </si>
  <si>
    <t>BANCO BRADESCO BBI S.A.</t>
  </si>
  <si>
    <t>BANCO DO ESTADO DO PARÁ S.A.</t>
  </si>
  <si>
    <t>BANCO CARGILL S.A.</t>
  </si>
  <si>
    <t>BANCO DO ESTADO DO RIO GRANDE DO SUL S.A.</t>
  </si>
  <si>
    <t>BANCO DO ESTADO DE SERGIPE S.A.</t>
  </si>
  <si>
    <t>BANCO BRADESCARD S.A.</t>
  </si>
  <si>
    <t>GOLDMAN SACHS DO BRASIL BANCO MULTIPLO S.A.</t>
  </si>
  <si>
    <t>BANCO ANDBANK (BRASIL) S.A.</t>
  </si>
  <si>
    <t>BANCO MORGAN STANLEY S.A.</t>
  </si>
  <si>
    <t>BANCO CREFISA S.A.</t>
  </si>
  <si>
    <t>BRB - BANCO DE BRASILIA S.A.</t>
  </si>
  <si>
    <t>BANCO J. SAFRA S.A.</t>
  </si>
  <si>
    <t>BANCO ABN AMRO CLEARING S.A.</t>
  </si>
  <si>
    <t>BANCO KDB DO BRASIL S.A.</t>
  </si>
  <si>
    <t>BANCO INTER S.A.</t>
  </si>
  <si>
    <t>HAITONG BANCO DE INVESTIMENTO DO BRASIL S.A.</t>
  </si>
  <si>
    <t>PICPAY BANK - BANCO MÚLTIPLO S.A</t>
  </si>
  <si>
    <t>BANCOSEGURO S.A.</t>
  </si>
  <si>
    <t>BANCO TOPÁZIO S.A.</t>
  </si>
  <si>
    <t>BANCO DA CHINA BRASIL S.A.</t>
  </si>
  <si>
    <t>BANCO RANDON S.A.</t>
  </si>
  <si>
    <t>BANCO FINAXIS S.A.</t>
  </si>
  <si>
    <t>BANCO TRAVELEX S.A.</t>
  </si>
  <si>
    <t>BANCO B3 S.A.</t>
  </si>
  <si>
    <t>CAIXA ECONOMICA FEDERAL</t>
  </si>
  <si>
    <t>BANCO BOCOM BBM S.A.</t>
  </si>
  <si>
    <t>BANCO WESTERN UNION DO BRASIL S.A.</t>
  </si>
  <si>
    <t>BANCO RODOBENS S.A.</t>
  </si>
  <si>
    <t>BANCO AGIBANK S.A.</t>
  </si>
  <si>
    <t>BANCO BRADESCO BERJ S.A.</t>
  </si>
  <si>
    <t>BANCO WOORI BANK DO BRASIL S.A.</t>
  </si>
  <si>
    <t>BANCO GENIAL S.A.</t>
  </si>
  <si>
    <t>BR PARTNERS BANCO DE INVESTIMENTO S.A.</t>
  </si>
  <si>
    <t>BRAZA BANK S.A. BANCO DE CÂMBIO</t>
  </si>
  <si>
    <t>UBS BB BANCO DE INVESTIMENTO S.A.</t>
  </si>
  <si>
    <t>ICBC DO BRASIL BANCO MÚLTIPLO S.A.</t>
  </si>
  <si>
    <t>INTESA SANPAOLO BRASIL S.A. - BANCO MÚLTIPLO</t>
  </si>
  <si>
    <t>INTEX BANK BANCO DE CÂMBIO S.A.</t>
  </si>
  <si>
    <t>EBURY BANCO DE CÂMBIO S.A.</t>
  </si>
  <si>
    <t>BANCO BTG PACTUAL S.A.</t>
  </si>
  <si>
    <t>BANCO ORIGINAL S.A.</t>
  </si>
  <si>
    <t>BANCO ARBI S.A.</t>
  </si>
  <si>
    <t>BANCO JOHN DEERE S.A.</t>
  </si>
  <si>
    <t>BANCO BS2 S.A.</t>
  </si>
  <si>
    <t>BANCO CRÉDIT AGRICOLE BRASIL S.A.</t>
  </si>
  <si>
    <t>BANCO FIBRA S.A.</t>
  </si>
  <si>
    <t>BANCO BMG SOLUÇÕES FINANCEIRAS S.A.</t>
  </si>
  <si>
    <t>BANCO BRADESCO S.A.</t>
  </si>
  <si>
    <t>BANCO CLASSICO S.A.</t>
  </si>
  <si>
    <t>BANCO ABC BRASIL S.A.</t>
  </si>
  <si>
    <t>BANCO INVESTCRED UNIBANCO S.A.</t>
  </si>
  <si>
    <t>BANCO BMG CONSIGNADO S.A.</t>
  </si>
  <si>
    <t>PARANÁ BANCO S.A.</t>
  </si>
  <si>
    <t>MONEYCORP BANCO DE CÂMBIO S.A.</t>
  </si>
  <si>
    <t>BANCO FATOR S.A.</t>
  </si>
  <si>
    <t>BANCO CEDULA S.A.</t>
  </si>
  <si>
    <t>BANCO HSBC S.A.</t>
  </si>
  <si>
    <t>BANCO SENFF S.A.</t>
  </si>
  <si>
    <t>BANCO AFINZ S.A. - BANCO MÚLTIPLO</t>
  </si>
  <si>
    <t>BANCO DE LA NACION ARGENTINA</t>
  </si>
  <si>
    <t>BANCO BMG S.A.</t>
  </si>
  <si>
    <t>BANK OF CHINA (BRASIL) BANCO MÚLTIPLO S/A</t>
  </si>
  <si>
    <t>BANCO BARI DE INVESTIMENTOS E FINANCIAMENTOS S.A.</t>
  </si>
  <si>
    <t>BANCO BESA S.A.</t>
  </si>
  <si>
    <t>BANCO DIGIO S.A.</t>
  </si>
  <si>
    <t>BANCO C6 S.A.</t>
  </si>
  <si>
    <t>ITAÚ UNIBANCO S.A.</t>
  </si>
  <si>
    <t>BANCO XP S.A.</t>
  </si>
  <si>
    <t>BANCO SOCIETE GENERALE BRASIL S.A.</t>
  </si>
  <si>
    <t>BANCO CSF S.A.</t>
  </si>
  <si>
    <t>BANCO MIZUHO DO BRASIL S.A.</t>
  </si>
  <si>
    <t>BANCO J.P. MORGAN S.A.</t>
  </si>
  <si>
    <t>BANCO BRASILEIRO DE CRÉDITO SOCIEDADE ANÔNIMA</t>
  </si>
  <si>
    <t>BANCO MERCEDES-BENZ DO BRASIL S.A.</t>
  </si>
  <si>
    <t>BANCO TOYOTA DO BRASIL S.A.</t>
  </si>
  <si>
    <t>BANCO MERCANTIL DO BRASIL S.A.</t>
  </si>
  <si>
    <t>BANCO GM S.A.</t>
  </si>
  <si>
    <t>BANCO VOLKSWAGEN S.A.</t>
  </si>
  <si>
    <t>BANCO BRADESCO FINANCIAMENTOS S.A.</t>
  </si>
  <si>
    <t>KIRTON BANK S.A. - BANCO MÚLTIPLO</t>
  </si>
  <si>
    <t>SOCIAL BANK BANCO MÚLTIPLO S/A</t>
  </si>
  <si>
    <t>BANCO BV S.A.</t>
  </si>
  <si>
    <t>BANCO NACIONAL S.A.</t>
  </si>
  <si>
    <t>BANCO SAFRA S.A.</t>
  </si>
  <si>
    <t>BANCO MUFG BRASIL S.A.</t>
  </si>
  <si>
    <t>BANCO SUMITOMO MITSUI BRASILEIRO S.A.</t>
  </si>
  <si>
    <t>BANCO CAIXA GERAL - BRASIL S.A.</t>
  </si>
  <si>
    <t>BANCO YAMAHA MOTOR DO BRASIL S.A.</t>
  </si>
  <si>
    <t>CITIBANK N.A.</t>
  </si>
  <si>
    <t>BANCO ITAUBANK S.A.</t>
  </si>
  <si>
    <t>DEUTSCHE BANK S.A. - BANCO ALEMAO</t>
  </si>
  <si>
    <t>JPMORGAN CHASE BANK, NATIONAL ASSOCIATION</t>
  </si>
  <si>
    <t>BANCO DE LA PROVINCIA DE BUENOS AIRES</t>
  </si>
  <si>
    <t>BBVA BRASIL BANCO DE INVESTIMENTO S.A.</t>
  </si>
  <si>
    <t>BANCO UBS (BRASIL) S.A.</t>
  </si>
  <si>
    <t>AVENUE SECURITIES BANCO DE INVESTIMENTO S.A.</t>
  </si>
  <si>
    <t>BANCO STONEX S.A.</t>
  </si>
  <si>
    <t>BANCO LUSO BRASILEIRO S.A.</t>
  </si>
  <si>
    <t>BANCO INDUSTRIAL DO BRASIL S.A.</t>
  </si>
  <si>
    <t>BANCO VR S.A.</t>
  </si>
  <si>
    <t>BANCO PAULISTA S.A.</t>
  </si>
  <si>
    <t>BANCO GUANABARA S.A.</t>
  </si>
  <si>
    <t>OMNI BANCO S.A.</t>
  </si>
  <si>
    <t>BANCO PAN S.A.</t>
  </si>
  <si>
    <t>BANCO C6 CONSIGNADO S.A.</t>
  </si>
  <si>
    <t>BANCO RENDIMENTO S.A.</t>
  </si>
  <si>
    <t>BANCO TRIANGULO S.A.</t>
  </si>
  <si>
    <t>BANCO SOFISA S.A.</t>
  </si>
  <si>
    <t>BANCO PINE S.A.</t>
  </si>
  <si>
    <t>BANCO DIGIMAIS S.A.</t>
  </si>
  <si>
    <t>BANCO VOTORANTIM S.A.</t>
  </si>
  <si>
    <t>BANCO DAYCOVAL S.A.</t>
  </si>
  <si>
    <t>BANCO INDUSCRED DE INVESTIMENTO S.A.</t>
  </si>
  <si>
    <t>OURIBANK S.A. BANCO MÚLTIPLO</t>
  </si>
  <si>
    <t>BANCO RIBEIRAO PRETO S.A.</t>
  </si>
  <si>
    <t>BANCO SEMEAR S.A.</t>
  </si>
  <si>
    <t>BANCO CITIBANK S.A.</t>
  </si>
  <si>
    <t>BANCO RABOBANK INTERNATIONAL BRASIL S.A.</t>
  </si>
  <si>
    <t>BANCO COOPERATIVO SICREDI S.A.</t>
  </si>
  <si>
    <t>SCOTIABANK BRASIL S.A. BANCO MÚLTIPLO</t>
  </si>
  <si>
    <t>BANCO BNP PARIBAS BRASIL S.A.</t>
  </si>
  <si>
    <t>NOVO BANCO CONTINENTAL S.A. - BANCO MÚLTIPLO</t>
  </si>
  <si>
    <t>BANCO SISTEMA S.A.</t>
  </si>
  <si>
    <t>BANK OF AMERICA MERRILL LYNCH BANCO MÚLTIPLO S.A.</t>
  </si>
  <si>
    <t>BANCO COOPERATIVO SICOOB S.A. - BANCO SICOOB</t>
  </si>
  <si>
    <t>BANCO KEB HANA DO BRASIL S.A.</t>
  </si>
  <si>
    <t>BANCO TRATON BRASIL S.A.</t>
  </si>
  <si>
    <t>Número-código</t>
  </si>
  <si>
    <t>Nome da instituição</t>
  </si>
  <si>
    <t>INFORME DE RENDIMENTOS BANCÁRIOS</t>
  </si>
  <si>
    <t>Preencha abaixo as Informações Bancárias</t>
  </si>
  <si>
    <t>Preencha abaixo as Informações do Titutar</t>
  </si>
  <si>
    <t>VALOR ATUAL</t>
  </si>
  <si>
    <t>ANEXO📎</t>
  </si>
  <si>
    <t>VALOR TOTAL</t>
  </si>
  <si>
    <t>Código e Nome da instituição</t>
  </si>
  <si>
    <t>1 - BANCO DO BRASIL S.A.</t>
  </si>
  <si>
    <t>341 - ITAÚ UNIBANCO S.A.</t>
  </si>
  <si>
    <t>104 - CAIXA ECONOMICA FEDERAL</t>
  </si>
  <si>
    <t>477 - CITIBANK N.A.</t>
  </si>
  <si>
    <t>BB.pdf</t>
  </si>
  <si>
    <t>ItauSA.pdf</t>
  </si>
  <si>
    <t>caixa.pdf</t>
  </si>
  <si>
    <t>citi.pdf</t>
  </si>
  <si>
    <t>NOTAS BANCÁRIAS E EXTRATO DE HOLERITES</t>
  </si>
  <si>
    <t>Valores de Receita Mês a Mês</t>
  </si>
  <si>
    <t>DATA</t>
  </si>
  <si>
    <t>CATEGORIA</t>
  </si>
  <si>
    <t>VALOR</t>
  </si>
  <si>
    <t>ENTRADAS</t>
  </si>
  <si>
    <t>HOLERITE</t>
  </si>
  <si>
    <t>FREELANCE</t>
  </si>
  <si>
    <t>CNPJ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</si>
</sst>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7" formatCode="0000\ 0000\ 0000"/>
    <numFmt numFmtId="169" formatCode="\(00\)\ 0\ 0000\-0000"/>
    <numFmt numFmtId="174" formatCode="\(00\)\ 0000\-0000"/>
    <numFmt numFmtId="178" formatCode="000000000\-00"/>
    <numFmt numFmtId="179" formatCode="000"/>
    <numFmt numFmtId="180" formatCode="&quot;R$&quot;\ 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Segoe UI Semibold"/>
      <family val="2"/>
    </font>
    <font>
      <u/>
      <sz val="11"/>
      <color theme="10"/>
      <name val="Aptos Narrow"/>
      <family val="2"/>
      <scheme val="minor"/>
    </font>
    <font>
      <b/>
      <sz val="11"/>
      <color theme="0"/>
      <name val="Segoe UI Variable Small Semilig"/>
    </font>
    <font>
      <b/>
      <sz val="11"/>
      <color rgb="FF141820"/>
      <name val="Segoe UI Variable Small Semilig"/>
    </font>
    <font>
      <b/>
      <sz val="10"/>
      <color theme="0"/>
      <name val="Segoe UI Variable Small Semilig"/>
    </font>
    <font>
      <sz val="11"/>
      <color rgb="FF141820"/>
      <name val="Segoe UI"/>
      <family val="2"/>
    </font>
    <font>
      <b/>
      <sz val="11"/>
      <color rgb="FFFFFFFF"/>
      <name val="Segoe UI"/>
      <family val="2"/>
    </font>
    <font>
      <sz val="11"/>
      <color theme="1"/>
      <name val="Segoe UI Light"/>
      <family val="2"/>
    </font>
  </fonts>
  <fills count="4">
    <fill>
      <patternFill patternType="none"/>
    </fill>
    <fill>
      <patternFill patternType="gray125"/>
    </fill>
    <fill>
      <patternFill patternType="solid">
        <fgColor rgb="FF141820"/>
        <bgColor indexed="64"/>
      </patternFill>
    </fill>
    <fill>
      <patternFill patternType="solid">
        <fgColor rgb="FF141820"/>
        <bgColor rgb="FF000000"/>
      </patternFill>
    </fill>
  </fills>
  <borders count="13">
    <border>
      <left/>
      <right/>
      <top/>
      <bottom/>
      <diagonal/>
    </border>
    <border>
      <left style="thick">
        <color rgb="FFD72638"/>
      </left>
      <right/>
      <top/>
      <bottom style="thick">
        <color rgb="FFD72638"/>
      </bottom>
      <diagonal/>
    </border>
    <border>
      <left/>
      <right style="thick">
        <color rgb="FFD72638"/>
      </right>
      <top/>
      <bottom style="thick">
        <color rgb="FFD72638"/>
      </bottom>
      <diagonal/>
    </border>
    <border>
      <left style="thick">
        <color rgb="FFD72638"/>
      </left>
      <right/>
      <top style="thick">
        <color rgb="FFD72638"/>
      </top>
      <bottom style="thick">
        <color rgb="FFD72638"/>
      </bottom>
      <diagonal/>
    </border>
    <border>
      <left style="thick">
        <color rgb="FFD72638"/>
      </left>
      <right/>
      <top style="thick">
        <color rgb="FFD72638"/>
      </top>
      <bottom style="thin">
        <color theme="0"/>
      </bottom>
      <diagonal/>
    </border>
    <border>
      <left style="thick">
        <color rgb="FFD72638"/>
      </left>
      <right/>
      <top style="thin">
        <color theme="0"/>
      </top>
      <bottom style="thin">
        <color theme="0"/>
      </bottom>
      <diagonal/>
    </border>
    <border>
      <left style="thick">
        <color rgb="FFD72638"/>
      </left>
      <right/>
      <top style="thin">
        <color theme="0"/>
      </top>
      <bottom style="thick">
        <color rgb="FFD72638"/>
      </bottom>
      <diagonal/>
    </border>
    <border>
      <left/>
      <right style="thick">
        <color rgb="FFD72638"/>
      </right>
      <top style="thick">
        <color rgb="FFD72638"/>
      </top>
      <bottom style="thick">
        <color rgb="FFD72638"/>
      </bottom>
      <diagonal/>
    </border>
    <border>
      <left/>
      <right style="thick">
        <color rgb="FFD72638"/>
      </right>
      <top style="thick">
        <color rgb="FFD72638"/>
      </top>
      <bottom style="thin">
        <color rgb="FF141820"/>
      </bottom>
      <diagonal/>
    </border>
    <border>
      <left/>
      <right style="thick">
        <color rgb="FFD72638"/>
      </right>
      <top style="thin">
        <color rgb="FF141820"/>
      </top>
      <bottom style="thin">
        <color rgb="FF141820"/>
      </bottom>
      <diagonal/>
    </border>
    <border>
      <left/>
      <right style="thick">
        <color rgb="FFD72638"/>
      </right>
      <top style="thin">
        <color rgb="FF141820"/>
      </top>
      <bottom style="thick">
        <color rgb="FFD72638"/>
      </bottom>
      <diagonal/>
    </border>
    <border>
      <left/>
      <right/>
      <top/>
      <bottom style="thick">
        <color rgb="FFD72638"/>
      </bottom>
      <diagonal/>
    </border>
    <border>
      <left/>
      <right/>
      <top style="thick">
        <color rgb="FFD72638"/>
      </top>
      <bottom style="thick">
        <color rgb="FFD72638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0" borderId="12" xfId="0" applyBorder="1" applyAlignment="1">
      <alignment vertical="center"/>
    </xf>
    <xf numFmtId="17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vertical="center" wrapText="1"/>
    </xf>
    <xf numFmtId="49" fontId="7" fillId="3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180" fontId="0" fillId="0" borderId="7" xfId="0" applyNumberFormat="1" applyBorder="1" applyAlignment="1">
      <alignment horizontal="right" vertical="center"/>
    </xf>
    <xf numFmtId="49" fontId="0" fillId="0" borderId="0" xfId="0" applyNumberFormat="1"/>
    <xf numFmtId="0" fontId="0" fillId="0" borderId="12" xfId="0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horizontal="left" vertical="center"/>
    </xf>
    <xf numFmtId="0" fontId="4" fillId="0" borderId="1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8" xfId="0" applyBorder="1" applyAlignment="1" applyProtection="1">
      <alignment horizontal="left" vertical="center"/>
      <protection locked="0"/>
    </xf>
    <xf numFmtId="178" fontId="0" fillId="0" borderId="9" xfId="0" applyNumberFormat="1" applyBorder="1" applyAlignment="1" applyProtection="1">
      <alignment horizontal="left" vertical="center"/>
      <protection locked="0"/>
    </xf>
    <xf numFmtId="14" fontId="0" fillId="0" borderId="9" xfId="0" applyNumberFormat="1" applyBorder="1" applyAlignment="1" applyProtection="1">
      <alignment horizontal="left" vertical="center"/>
      <protection locked="0"/>
    </xf>
    <xf numFmtId="167" fontId="1" fillId="0" borderId="9" xfId="0" applyNumberFormat="1" applyFont="1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174" fontId="0" fillId="0" borderId="9" xfId="0" applyNumberFormat="1" applyBorder="1" applyAlignment="1" applyProtection="1">
      <alignment horizontal="left" vertical="center"/>
      <protection locked="0"/>
    </xf>
    <xf numFmtId="169" fontId="0" fillId="0" borderId="9" xfId="0" applyNumberFormat="1" applyBorder="1" applyAlignment="1" applyProtection="1">
      <alignment horizontal="left" vertical="center"/>
      <protection locked="0"/>
    </xf>
    <xf numFmtId="0" fontId="2" fillId="0" borderId="9" xfId="1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180" fontId="0" fillId="0" borderId="9" xfId="0" applyNumberFormat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 applyProtection="1">
      <alignment horizontal="left" vertical="center"/>
      <protection locked="0"/>
    </xf>
    <xf numFmtId="14" fontId="0" fillId="0" borderId="10" xfId="0" applyNumberFormat="1" applyBorder="1" applyAlignment="1" applyProtection="1">
      <alignment horizontal="left" vertical="center"/>
      <protection locked="0"/>
    </xf>
    <xf numFmtId="14" fontId="8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180" fontId="8" fillId="0" borderId="0" xfId="0" applyNumberFormat="1" applyFont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80" formatCode="&quot;R$&quot;\ 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 Variable Small Semilig"/>
        <scheme val="none"/>
      </font>
      <fill>
        <patternFill patternType="solid">
          <fgColor indexed="64"/>
          <bgColor rgb="FF141820"/>
        </patternFill>
      </fill>
      <alignment horizontal="center" vertical="center" textRotation="0" wrapText="0" indent="0" justifyLastLine="0" shrinkToFit="0" readingOrder="0"/>
    </dxf>
    <dxf>
      <border outline="0">
        <bottom style="thick">
          <color rgb="FFD72638"/>
        </bottom>
      </border>
    </dxf>
    <dxf>
      <border outline="0">
        <top style="thick">
          <color rgb="FFD72638"/>
        </top>
      </border>
    </dxf>
  </dxfs>
  <tableStyles count="0" defaultTableStyle="TableStyleMedium2" defaultPivotStyle="PivotStyleLight16"/>
  <colors>
    <mruColors>
      <color rgb="FF141820"/>
      <color rgb="FFD726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4" Type="http://schemas.openxmlformats.org/officeDocument/2006/relationships/hyperlink" Target="#Nota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Notas!A1"/><Relationship Id="rId2" Type="http://schemas.openxmlformats.org/officeDocument/2006/relationships/hyperlink" Target="#Titular!A1"/><Relationship Id="rId1" Type="http://schemas.openxmlformats.org/officeDocument/2006/relationships/hyperlink" Target="#Informes!A1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hyperlink" Target="#Notas!A1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219073</xdr:colOff>
      <xdr:row>0</xdr:row>
      <xdr:rowOff>66675</xdr:rowOff>
    </xdr:from>
    <xdr:to>
      <xdr:col>6</xdr:col>
      <xdr:colOff>19049</xdr:colOff>
      <xdr:row>7</xdr:row>
      <xdr:rowOff>787400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4CACDCA-F748-AB7F-9419-E0A438C036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517" b="24517"/>
        <a:stretch>
          <a:fillRect/>
        </a:stretch>
      </xdr:blipFill>
      <xdr:spPr>
        <a:xfrm>
          <a:off x="219073" y="66675"/>
          <a:ext cx="9134476" cy="198755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8</xdr:row>
      <xdr:rowOff>133351</xdr:rowOff>
    </xdr:from>
    <xdr:to>
      <xdr:col>1</xdr:col>
      <xdr:colOff>1428750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BE13D9-524C-B4D0-D483-010B7FEE58C8}"/>
            </a:ext>
          </a:extLst>
        </xdr:cNvPr>
        <xdr:cNvSpPr/>
      </xdr:nvSpPr>
      <xdr:spPr>
        <a:xfrm>
          <a:off x="304800" y="1581151"/>
          <a:ext cx="1263650" cy="380999"/>
        </a:xfrm>
        <a:prstGeom prst="roundRect">
          <a:avLst/>
        </a:prstGeom>
        <a:gradFill flip="none" rotWithShape="1">
          <a:gsLst>
            <a:gs pos="0">
              <a:srgbClr val="D72638"/>
            </a:gs>
            <a:gs pos="23000">
              <a:srgbClr val="D72638"/>
            </a:gs>
            <a:gs pos="87000">
              <a:srgbClr val="D72638"/>
            </a:gs>
            <a:gs pos="97000">
              <a:schemeClr val="bg1"/>
            </a:gs>
          </a:gsLst>
          <a:path path="circle">
            <a:fillToRect l="50000" t="50000" r="50000" b="5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Semibold" panose="020B0702040204020203" pitchFamily="34" charset="0"/>
              <a:cs typeface="Segoe UI Semibold" panose="020B07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1</xdr:col>
      <xdr:colOff>160338</xdr:colOff>
      <xdr:row>11</xdr:row>
      <xdr:rowOff>77789</xdr:rowOff>
    </xdr:from>
    <xdr:to>
      <xdr:col>1</xdr:col>
      <xdr:colOff>1430338</xdr:colOff>
      <xdr:row>13</xdr:row>
      <xdr:rowOff>65088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9567C1-5075-4AC3-9143-134E45AF610B}"/>
            </a:ext>
          </a:extLst>
        </xdr:cNvPr>
        <xdr:cNvSpPr/>
      </xdr:nvSpPr>
      <xdr:spPr>
        <a:xfrm>
          <a:off x="303213" y="2782889"/>
          <a:ext cx="1270000" cy="415924"/>
        </a:xfrm>
        <a:prstGeom prst="roundRect">
          <a:avLst/>
        </a:prstGeom>
        <a:gradFill flip="none" rotWithShape="1">
          <a:gsLst>
            <a:gs pos="0">
              <a:schemeClr val="bg1"/>
            </a:gs>
            <a:gs pos="23000">
              <a:schemeClr val="bg1"/>
            </a:gs>
            <a:gs pos="87000">
              <a:schemeClr val="bg1"/>
            </a:gs>
            <a:gs pos="97000">
              <a:srgbClr val="D72638"/>
            </a:gs>
          </a:gsLst>
          <a:path path="circle">
            <a:fillToRect l="50000" t="50000" r="50000" b="50000"/>
          </a:path>
          <a:tileRect/>
        </a:gradFill>
        <a:ln>
          <a:solidFill>
            <a:srgbClr val="D7263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rgbClr val="D72638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1</xdr:col>
      <xdr:colOff>163513</xdr:colOff>
      <xdr:row>13</xdr:row>
      <xdr:rowOff>139701</xdr:rowOff>
    </xdr:from>
    <xdr:to>
      <xdr:col>1</xdr:col>
      <xdr:colOff>1430338</xdr:colOff>
      <xdr:row>15</xdr:row>
      <xdr:rowOff>168275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DE0EEDD-0D40-4D75-9352-D4E70C4AB150}"/>
            </a:ext>
          </a:extLst>
        </xdr:cNvPr>
        <xdr:cNvSpPr/>
      </xdr:nvSpPr>
      <xdr:spPr>
        <a:xfrm>
          <a:off x="303213" y="2524126"/>
          <a:ext cx="1266825" cy="387349"/>
        </a:xfrm>
        <a:prstGeom prst="roundRect">
          <a:avLst/>
        </a:prstGeom>
        <a:gradFill flip="none" rotWithShape="1">
          <a:gsLst>
            <a:gs pos="0">
              <a:schemeClr val="bg1"/>
            </a:gs>
            <a:gs pos="23000">
              <a:schemeClr val="bg1"/>
            </a:gs>
            <a:gs pos="87000">
              <a:schemeClr val="bg1"/>
            </a:gs>
            <a:gs pos="97000">
              <a:srgbClr val="D72638"/>
            </a:gs>
          </a:gsLst>
          <a:path path="circle">
            <a:fillToRect l="50000" t="50000" r="50000" b="50000"/>
          </a:path>
          <a:tileRect/>
        </a:gradFill>
        <a:ln>
          <a:solidFill>
            <a:srgbClr val="D7263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rgbClr val="D72638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Notas</a:t>
          </a:r>
        </a:p>
      </xdr:txBody>
    </xdr:sp>
    <xdr:clientData/>
  </xdr:twoCellAnchor>
  <xdr:twoCellAnchor>
    <xdr:from>
      <xdr:col>1</xdr:col>
      <xdr:colOff>94456</xdr:colOff>
      <xdr:row>16</xdr:row>
      <xdr:rowOff>120649</xdr:rowOff>
    </xdr:from>
    <xdr:to>
      <xdr:col>1</xdr:col>
      <xdr:colOff>1543049</xdr:colOff>
      <xdr:row>17</xdr:row>
      <xdr:rowOff>180974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C79008C7-506B-2FC6-0446-0A0E5B05AB68}"/>
            </a:ext>
          </a:extLst>
        </xdr:cNvPr>
        <xdr:cNvGrpSpPr/>
      </xdr:nvGrpSpPr>
      <xdr:grpSpPr>
        <a:xfrm>
          <a:off x="237331" y="3867149"/>
          <a:ext cx="1448593" cy="266700"/>
          <a:chOff x="322263" y="3568700"/>
          <a:chExt cx="1249362" cy="173677"/>
        </a:xfrm>
      </xdr:grpSpPr>
      <xdr:cxnSp macro="">
        <xdr:nvCxnSpPr>
          <xdr:cNvPr id="9" name="Conector reto 8">
            <a:extLst>
              <a:ext uri="{FF2B5EF4-FFF2-40B4-BE49-F238E27FC236}">
                <a16:creationId xmlns:a16="http://schemas.microsoft.com/office/drawing/2014/main" id="{BE163FCA-EDD1-5F46-2334-F35EE0B5A2CD}"/>
              </a:ext>
            </a:extLst>
          </xdr:cNvPr>
          <xdr:cNvCxnSpPr/>
        </xdr:nvCxnSpPr>
        <xdr:spPr>
          <a:xfrm>
            <a:off x="323850" y="3568700"/>
            <a:ext cx="1247775" cy="0"/>
          </a:xfrm>
          <a:prstGeom prst="line">
            <a:avLst/>
          </a:prstGeom>
          <a:ln>
            <a:solidFill>
              <a:srgbClr val="D72638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B26AE22B-DCA8-690A-547E-3DF4BC45429A}"/>
              </a:ext>
            </a:extLst>
          </xdr:cNvPr>
          <xdr:cNvSpPr txBox="1"/>
        </xdr:nvSpPr>
        <xdr:spPr>
          <a:xfrm>
            <a:off x="322263" y="3606800"/>
            <a:ext cx="1247775" cy="1355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800" b="1">
                <a:solidFill>
                  <a:schemeClr val="bg1"/>
                </a:solidFill>
                <a:latin typeface="Segoe UI Semibold" panose="020B0702040204020203" pitchFamily="34" charset="0"/>
                <a:cs typeface="Segoe UI Semibold" panose="020B0702040204020203" pitchFamily="34" charset="0"/>
              </a:rPr>
              <a:t>System</a:t>
            </a:r>
            <a:r>
              <a:rPr lang="pt-BR" sz="800" b="1" baseline="0">
                <a:solidFill>
                  <a:schemeClr val="bg1"/>
                </a:solidFill>
                <a:latin typeface="Segoe UI Semibold" panose="020B0702040204020203" pitchFamily="34" charset="0"/>
                <a:cs typeface="Segoe UI Semibold" panose="020B0702040204020203" pitchFamily="34" charset="0"/>
              </a:rPr>
              <a:t> by SPINCORP</a:t>
            </a:r>
            <a:endParaRPr lang="pt-BR" sz="800" b="1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endParaRPr>
          </a:p>
        </xdr:txBody>
      </xdr:sp>
    </xdr:grpSp>
    <xdr:clientData/>
  </xdr:twoCellAnchor>
  <xdr:twoCellAnchor editAs="absolute">
    <xdr:from>
      <xdr:col>4</xdr:col>
      <xdr:colOff>2206625</xdr:colOff>
      <xdr:row>25</xdr:row>
      <xdr:rowOff>177800</xdr:rowOff>
    </xdr:from>
    <xdr:to>
      <xdr:col>4</xdr:col>
      <xdr:colOff>3473450</xdr:colOff>
      <xdr:row>28</xdr:row>
      <xdr:rowOff>60324</xdr:rowOff>
    </xdr:to>
    <xdr:sp macro="" textlink="">
      <xdr:nvSpPr>
        <xdr:cNvPr id="15" name="Retângulo: Cantos Arredondados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5F3F6D6-A2E7-4FBB-97FD-57F108230AAB}"/>
            </a:ext>
          </a:extLst>
        </xdr:cNvPr>
        <xdr:cNvSpPr/>
      </xdr:nvSpPr>
      <xdr:spPr>
        <a:xfrm>
          <a:off x="7553325" y="5838825"/>
          <a:ext cx="1263650" cy="431799"/>
        </a:xfrm>
        <a:prstGeom prst="roundRect">
          <a:avLst/>
        </a:prstGeom>
        <a:gradFill flip="none" rotWithShape="1">
          <a:gsLst>
            <a:gs pos="0">
              <a:srgbClr val="D72638"/>
            </a:gs>
            <a:gs pos="23000">
              <a:srgbClr val="D72638"/>
            </a:gs>
            <a:gs pos="87000">
              <a:srgbClr val="D72638"/>
            </a:gs>
            <a:gs pos="97000">
              <a:schemeClr val="bg1"/>
            </a:gs>
          </a:gsLst>
          <a:path path="circle">
            <a:fillToRect l="50000" t="50000" r="50000" b="5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Semibold" panose="020B0702040204020203" pitchFamily="34" charset="0"/>
              <a:cs typeface="Segoe UI Semibold" panose="020B0702040204020203" pitchFamily="34" charset="0"/>
            </a:rPr>
            <a:t>Próximo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196850</xdr:colOff>
      <xdr:row>11</xdr:row>
      <xdr:rowOff>131763</xdr:rowOff>
    </xdr:from>
    <xdr:to>
      <xdr:col>1</xdr:col>
      <xdr:colOff>1454150</xdr:colOff>
      <xdr:row>14</xdr:row>
      <xdr:rowOff>7937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E2B008-59F8-4AEA-A97A-9919A80B3EA4}"/>
            </a:ext>
          </a:extLst>
        </xdr:cNvPr>
        <xdr:cNvSpPr/>
      </xdr:nvSpPr>
      <xdr:spPr>
        <a:xfrm>
          <a:off x="301625" y="2789238"/>
          <a:ext cx="1257300" cy="419099"/>
        </a:xfrm>
        <a:prstGeom prst="roundRect">
          <a:avLst/>
        </a:prstGeom>
        <a:gradFill flip="none" rotWithShape="1">
          <a:gsLst>
            <a:gs pos="0">
              <a:srgbClr val="D72638"/>
            </a:gs>
            <a:gs pos="23000">
              <a:srgbClr val="D72638"/>
            </a:gs>
            <a:gs pos="87000">
              <a:srgbClr val="D72638"/>
            </a:gs>
            <a:gs pos="97000">
              <a:schemeClr val="bg1"/>
            </a:gs>
          </a:gsLst>
          <a:path path="circle">
            <a:fillToRect l="50000" t="50000" r="50000" b="5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Semibold" panose="020B0702040204020203" pitchFamily="34" charset="0"/>
              <a:cs typeface="Segoe UI Semibold" panose="020B07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1</xdr:col>
      <xdr:colOff>201613</xdr:colOff>
      <xdr:row>8</xdr:row>
      <xdr:rowOff>101601</xdr:rowOff>
    </xdr:from>
    <xdr:to>
      <xdr:col>1</xdr:col>
      <xdr:colOff>1458913</xdr:colOff>
      <xdr:row>11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286C40-4252-4A65-BDFD-1D751E6E8F26}"/>
            </a:ext>
          </a:extLst>
        </xdr:cNvPr>
        <xdr:cNvSpPr/>
      </xdr:nvSpPr>
      <xdr:spPr>
        <a:xfrm>
          <a:off x="300038" y="1549401"/>
          <a:ext cx="1266825" cy="380999"/>
        </a:xfrm>
        <a:prstGeom prst="roundRect">
          <a:avLst/>
        </a:prstGeom>
        <a:gradFill flip="none" rotWithShape="1">
          <a:gsLst>
            <a:gs pos="0">
              <a:schemeClr val="bg1"/>
            </a:gs>
            <a:gs pos="23000">
              <a:schemeClr val="bg1"/>
            </a:gs>
            <a:gs pos="87000">
              <a:schemeClr val="bg1"/>
            </a:gs>
            <a:gs pos="97000">
              <a:srgbClr val="D72638"/>
            </a:gs>
          </a:gsLst>
          <a:path path="circle">
            <a:fillToRect l="50000" t="50000" r="50000" b="50000"/>
          </a:path>
          <a:tileRect/>
        </a:gradFill>
        <a:ln>
          <a:solidFill>
            <a:srgbClr val="D7263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rgbClr val="D72638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1</xdr:col>
      <xdr:colOff>201613</xdr:colOff>
      <xdr:row>14</xdr:row>
      <xdr:rowOff>123826</xdr:rowOff>
    </xdr:from>
    <xdr:to>
      <xdr:col>1</xdr:col>
      <xdr:colOff>1458913</xdr:colOff>
      <xdr:row>17</xdr:row>
      <xdr:rowOff>6350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FC1B00A-2A61-4844-8EDE-4506910D7239}"/>
            </a:ext>
          </a:extLst>
        </xdr:cNvPr>
        <xdr:cNvSpPr/>
      </xdr:nvSpPr>
      <xdr:spPr>
        <a:xfrm>
          <a:off x="300038" y="2524126"/>
          <a:ext cx="1266825" cy="387349"/>
        </a:xfrm>
        <a:prstGeom prst="roundRect">
          <a:avLst/>
        </a:prstGeom>
        <a:gradFill flip="none" rotWithShape="1">
          <a:gsLst>
            <a:gs pos="0">
              <a:schemeClr val="bg1"/>
            </a:gs>
            <a:gs pos="23000">
              <a:schemeClr val="bg1"/>
            </a:gs>
            <a:gs pos="87000">
              <a:schemeClr val="bg1"/>
            </a:gs>
            <a:gs pos="97000">
              <a:srgbClr val="D72638"/>
            </a:gs>
          </a:gsLst>
          <a:path path="circle">
            <a:fillToRect l="50000" t="50000" r="50000" b="50000"/>
          </a:path>
          <a:tileRect/>
        </a:gradFill>
        <a:ln>
          <a:solidFill>
            <a:srgbClr val="D7263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rgbClr val="D72638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Notas</a:t>
          </a:r>
        </a:p>
      </xdr:txBody>
    </xdr:sp>
    <xdr:clientData/>
  </xdr:twoCellAnchor>
  <xdr:twoCellAnchor>
    <xdr:from>
      <xdr:col>1</xdr:col>
      <xdr:colOff>114300</xdr:colOff>
      <xdr:row>19</xdr:row>
      <xdr:rowOff>101600</xdr:rowOff>
    </xdr:from>
    <xdr:to>
      <xdr:col>1</xdr:col>
      <xdr:colOff>1362075</xdr:colOff>
      <xdr:row>19</xdr:row>
      <xdr:rowOff>101600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4DDB22FB-D458-4C86-9CBA-F58C8E18871C}"/>
            </a:ext>
          </a:extLst>
        </xdr:cNvPr>
        <xdr:cNvCxnSpPr/>
      </xdr:nvCxnSpPr>
      <xdr:spPr>
        <a:xfrm>
          <a:off x="333375" y="3571875"/>
          <a:ext cx="1244600" cy="0"/>
        </a:xfrm>
        <a:prstGeom prst="line">
          <a:avLst/>
        </a:prstGeom>
        <a:ln>
          <a:solidFill>
            <a:srgbClr val="D7263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104775</xdr:colOff>
      <xdr:row>19</xdr:row>
      <xdr:rowOff>97232</xdr:rowOff>
    </xdr:from>
    <xdr:ext cx="1247775" cy="228845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CAC6C608-9ECA-4D21-BC1F-8A1A5B9FEB7E}"/>
            </a:ext>
          </a:extLst>
        </xdr:cNvPr>
        <xdr:cNvSpPr txBox="1"/>
      </xdr:nvSpPr>
      <xdr:spPr>
        <a:xfrm>
          <a:off x="320675" y="3564332"/>
          <a:ext cx="1247775" cy="2288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800" b="1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System</a:t>
          </a:r>
          <a:r>
            <a:rPr lang="pt-BR" sz="800" b="1" baseline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by SPINCORP</a:t>
          </a:r>
          <a:endParaRPr lang="pt-BR" sz="800" b="1">
            <a:solidFill>
              <a:schemeClr val="bg1"/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oneCellAnchor>
  <xdr:twoCellAnchor editAs="oneCell">
    <xdr:from>
      <xdr:col>0</xdr:col>
      <xdr:colOff>205251</xdr:colOff>
      <xdr:row>0</xdr:row>
      <xdr:rowOff>34925</xdr:rowOff>
    </xdr:from>
    <xdr:to>
      <xdr:col>6</xdr:col>
      <xdr:colOff>6351</xdr:colOff>
      <xdr:row>7</xdr:row>
      <xdr:rowOff>768350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1FA9522-24ED-41CF-8FA5-77A92A4D8B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517" b="24517"/>
        <a:stretch>
          <a:fillRect/>
        </a:stretch>
      </xdr:blipFill>
      <xdr:spPr>
        <a:xfrm>
          <a:off x="205251" y="34925"/>
          <a:ext cx="9192750" cy="2003425"/>
        </a:xfrm>
        <a:prstGeom prst="rect">
          <a:avLst/>
        </a:prstGeom>
      </xdr:spPr>
    </xdr:pic>
    <xdr:clientData/>
  </xdr:twoCellAnchor>
  <xdr:twoCellAnchor>
    <xdr:from>
      <xdr:col>4</xdr:col>
      <xdr:colOff>2596039</xdr:colOff>
      <xdr:row>28</xdr:row>
      <xdr:rowOff>102974</xdr:rowOff>
    </xdr:from>
    <xdr:to>
      <xdr:col>5</xdr:col>
      <xdr:colOff>390525</xdr:colOff>
      <xdr:row>31</xdr:row>
      <xdr:rowOff>43074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2775437-4E4B-4034-BC6D-7426FEE46AF5}"/>
            </a:ext>
          </a:extLst>
        </xdr:cNvPr>
        <xdr:cNvSpPr/>
      </xdr:nvSpPr>
      <xdr:spPr>
        <a:xfrm>
          <a:off x="7993539" y="5944974"/>
          <a:ext cx="1265819" cy="405767"/>
        </a:xfrm>
        <a:prstGeom prst="roundRect">
          <a:avLst/>
        </a:prstGeom>
        <a:gradFill flip="none" rotWithShape="1">
          <a:gsLst>
            <a:gs pos="0">
              <a:srgbClr val="D72638">
                <a:lumMod val="92000"/>
              </a:srgbClr>
            </a:gs>
            <a:gs pos="23000">
              <a:srgbClr val="D72638"/>
            </a:gs>
            <a:gs pos="87000">
              <a:srgbClr val="D72638"/>
            </a:gs>
            <a:gs pos="97000">
              <a:schemeClr val="bg1"/>
            </a:gs>
          </a:gsLst>
          <a:path path="circle">
            <a:fillToRect l="50000" t="50000" r="50000" b="5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Semibold" panose="020B0702040204020203" pitchFamily="34" charset="0"/>
              <a:cs typeface="Segoe UI Semibold" panose="020B0702040204020203" pitchFamily="34" charset="0"/>
            </a:rPr>
            <a:t>Próximo</a:t>
          </a:r>
        </a:p>
      </xdr:txBody>
    </xdr:sp>
    <xdr:clientData/>
  </xdr:twoCellAnchor>
  <xdr:twoCellAnchor>
    <xdr:from>
      <xdr:col>4</xdr:col>
      <xdr:colOff>1196975</xdr:colOff>
      <xdr:row>28</xdr:row>
      <xdr:rowOff>100012</xdr:rowOff>
    </xdr:from>
    <xdr:to>
      <xdr:col>4</xdr:col>
      <xdr:colOff>2475477</xdr:colOff>
      <xdr:row>31</xdr:row>
      <xdr:rowOff>46036</xdr:rowOff>
    </xdr:to>
    <xdr:sp macro="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1C6E28-E644-46A2-BFB1-A263BB0C5537}"/>
            </a:ext>
          </a:extLst>
        </xdr:cNvPr>
        <xdr:cNvSpPr/>
      </xdr:nvSpPr>
      <xdr:spPr>
        <a:xfrm>
          <a:off x="6594475" y="5942012"/>
          <a:ext cx="1278502" cy="411691"/>
        </a:xfrm>
        <a:prstGeom prst="roundRect">
          <a:avLst/>
        </a:prstGeom>
        <a:gradFill flip="none" rotWithShape="1">
          <a:gsLst>
            <a:gs pos="0">
              <a:srgbClr val="D72638"/>
            </a:gs>
            <a:gs pos="23000">
              <a:srgbClr val="D72638"/>
            </a:gs>
            <a:gs pos="87000">
              <a:srgbClr val="D72638"/>
            </a:gs>
            <a:gs pos="97000">
              <a:schemeClr val="bg1"/>
            </a:gs>
          </a:gsLst>
          <a:path path="circle">
            <a:fillToRect l="50000" t="50000" r="50000" b="5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Semibold" panose="020B0702040204020203" pitchFamily="34" charset="0"/>
              <a:cs typeface="Segoe UI Semibold" panose="020B0702040204020203" pitchFamily="34" charset="0"/>
            </a:rPr>
            <a:t>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106363</xdr:colOff>
      <xdr:row>8</xdr:row>
      <xdr:rowOff>107952</xdr:rowOff>
    </xdr:from>
    <xdr:to>
      <xdr:col>1</xdr:col>
      <xdr:colOff>1377950</xdr:colOff>
      <xdr:row>15</xdr:row>
      <xdr:rowOff>80964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790979E-FF81-E908-39EA-B09F596EB257}"/>
            </a:ext>
          </a:extLst>
        </xdr:cNvPr>
        <xdr:cNvGrpSpPr/>
      </xdr:nvGrpSpPr>
      <xdr:grpSpPr>
        <a:xfrm>
          <a:off x="212196" y="1885952"/>
          <a:ext cx="1271587" cy="1327679"/>
          <a:chOff x="304801" y="1981202"/>
          <a:chExt cx="1271587" cy="1330324"/>
        </a:xfrm>
      </xdr:grpSpPr>
      <xdr:sp macro="" textlink="">
        <xdr:nvSpPr>
          <xdr:cNvPr id="3" name="Retângulo: Cantos Arredondados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0F7148-07EA-45F2-BDEA-ED9B5D05DEE6}"/>
              </a:ext>
            </a:extLst>
          </xdr:cNvPr>
          <xdr:cNvSpPr/>
        </xdr:nvSpPr>
        <xdr:spPr>
          <a:xfrm>
            <a:off x="306388" y="2925764"/>
            <a:ext cx="1263650" cy="385762"/>
          </a:xfrm>
          <a:prstGeom prst="roundRect">
            <a:avLst/>
          </a:prstGeom>
          <a:gradFill flip="none" rotWithShape="1">
            <a:gsLst>
              <a:gs pos="0">
                <a:srgbClr val="D72638"/>
              </a:gs>
              <a:gs pos="23000">
                <a:srgbClr val="D72638"/>
              </a:gs>
              <a:gs pos="87000">
                <a:srgbClr val="D72638"/>
              </a:gs>
              <a:gs pos="97000">
                <a:schemeClr val="bg1"/>
              </a:gs>
            </a:gsLst>
            <a:path path="circle">
              <a:fillToRect l="50000" t="50000" r="50000" b="50000"/>
            </a:path>
            <a:tileRect/>
          </a:gra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Segoe UI Semibold" panose="020B0702040204020203" pitchFamily="34" charset="0"/>
                <a:cs typeface="Segoe UI Semibold" panose="020B0702040204020203" pitchFamily="34" charset="0"/>
              </a:rPr>
              <a:t>Notas</a:t>
            </a:r>
          </a:p>
        </xdr:txBody>
      </xdr:sp>
      <xdr:sp macro="" textlink="">
        <xdr:nvSpPr>
          <xdr:cNvPr id="4" name="Retângulo: Cantos Arredondados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BA0D687-8F26-4E1E-9F67-AC71F0E82E7D}"/>
              </a:ext>
            </a:extLst>
          </xdr:cNvPr>
          <xdr:cNvSpPr/>
        </xdr:nvSpPr>
        <xdr:spPr>
          <a:xfrm>
            <a:off x="304801" y="1981202"/>
            <a:ext cx="1266825" cy="390524"/>
          </a:xfrm>
          <a:prstGeom prst="roundRect">
            <a:avLst/>
          </a:prstGeom>
          <a:gradFill flip="none" rotWithShape="1">
            <a:gsLst>
              <a:gs pos="0">
                <a:schemeClr val="bg1"/>
              </a:gs>
              <a:gs pos="23000">
                <a:schemeClr val="bg1"/>
              </a:gs>
              <a:gs pos="87000">
                <a:schemeClr val="bg1"/>
              </a:gs>
              <a:gs pos="97000">
                <a:srgbClr val="D72638"/>
              </a:gs>
            </a:gsLst>
            <a:path path="circle">
              <a:fillToRect l="50000" t="50000" r="50000" b="50000"/>
            </a:path>
            <a:tileRect/>
          </a:gradFill>
          <a:ln>
            <a:solidFill>
              <a:srgbClr val="D7263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D72638"/>
                </a:solidFill>
                <a:latin typeface="Segoe UI Semibold" panose="020B0702040204020203" pitchFamily="34" charset="0"/>
                <a:cs typeface="Segoe UI Semibold" panose="020B0702040204020203" pitchFamily="34" charset="0"/>
              </a:rPr>
              <a:t>Titular</a:t>
            </a:r>
          </a:p>
        </xdr:txBody>
      </xdr:sp>
      <xdr:sp macro="" textlink="">
        <xdr:nvSpPr>
          <xdr:cNvPr id="5" name="Retângulo: Cantos Arredondados 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233E4B6-C3BB-40FC-924D-A8501757B0F4}"/>
              </a:ext>
            </a:extLst>
          </xdr:cNvPr>
          <xdr:cNvSpPr/>
        </xdr:nvSpPr>
        <xdr:spPr>
          <a:xfrm>
            <a:off x="306388" y="2455865"/>
            <a:ext cx="1270000" cy="388936"/>
          </a:xfrm>
          <a:prstGeom prst="roundRect">
            <a:avLst/>
          </a:prstGeom>
          <a:gradFill flip="none" rotWithShape="1">
            <a:gsLst>
              <a:gs pos="0">
                <a:schemeClr val="bg1"/>
              </a:gs>
              <a:gs pos="23000">
                <a:schemeClr val="bg1"/>
              </a:gs>
              <a:gs pos="87000">
                <a:schemeClr val="bg1"/>
              </a:gs>
              <a:gs pos="97000">
                <a:srgbClr val="D72638"/>
              </a:gs>
            </a:gsLst>
            <a:path path="circle">
              <a:fillToRect l="50000" t="50000" r="50000" b="50000"/>
            </a:path>
            <a:tileRect/>
          </a:gradFill>
          <a:ln>
            <a:solidFill>
              <a:srgbClr val="D7263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solidFill>
                  <a:srgbClr val="D72638"/>
                </a:solidFill>
                <a:latin typeface="Segoe UI Semibold" panose="020B0702040204020203" pitchFamily="34" charset="0"/>
                <a:cs typeface="Segoe UI Semibold" panose="020B0702040204020203" pitchFamily="34" charset="0"/>
              </a:rPr>
              <a:t>Informes</a:t>
            </a:r>
          </a:p>
        </xdr:txBody>
      </xdr:sp>
    </xdr:grpSp>
    <xdr:clientData/>
  </xdr:twoCellAnchor>
  <xdr:twoCellAnchor>
    <xdr:from>
      <xdr:col>1</xdr:col>
      <xdr:colOff>114300</xdr:colOff>
      <xdr:row>19</xdr:row>
      <xdr:rowOff>101600</xdr:rowOff>
    </xdr:from>
    <xdr:to>
      <xdr:col>1</xdr:col>
      <xdr:colOff>1362075</xdr:colOff>
      <xdr:row>19</xdr:row>
      <xdr:rowOff>101600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79512E-0056-452B-A4D1-2E0EC1644A90}"/>
            </a:ext>
          </a:extLst>
        </xdr:cNvPr>
        <xdr:cNvCxnSpPr/>
      </xdr:nvCxnSpPr>
      <xdr:spPr>
        <a:xfrm>
          <a:off x="333375" y="3571875"/>
          <a:ext cx="1244600" cy="0"/>
        </a:xfrm>
        <a:prstGeom prst="line">
          <a:avLst/>
        </a:prstGeom>
        <a:ln>
          <a:solidFill>
            <a:srgbClr val="D7263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104775</xdr:colOff>
      <xdr:row>19</xdr:row>
      <xdr:rowOff>97232</xdr:rowOff>
    </xdr:from>
    <xdr:ext cx="1247775" cy="228845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7A6370AD-39B1-4626-B455-64EDB3FE65CF}"/>
            </a:ext>
          </a:extLst>
        </xdr:cNvPr>
        <xdr:cNvSpPr txBox="1"/>
      </xdr:nvSpPr>
      <xdr:spPr>
        <a:xfrm>
          <a:off x="320675" y="3564332"/>
          <a:ext cx="1247775" cy="2288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800" b="1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System</a:t>
          </a:r>
          <a:r>
            <a:rPr lang="pt-BR" sz="800" b="1" baseline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by SPINCORP</a:t>
          </a:r>
          <a:endParaRPr lang="pt-BR" sz="800" b="1">
            <a:solidFill>
              <a:schemeClr val="bg1"/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oneCellAnchor>
  <xdr:twoCellAnchor editAs="absolute">
    <xdr:from>
      <xdr:col>5</xdr:col>
      <xdr:colOff>720725</xdr:colOff>
      <xdr:row>34</xdr:row>
      <xdr:rowOff>100013</xdr:rowOff>
    </xdr:from>
    <xdr:to>
      <xdr:col>6</xdr:col>
      <xdr:colOff>9525</xdr:colOff>
      <xdr:row>36</xdr:row>
      <xdr:rowOff>174624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F979BAA-5EC9-4FB7-800A-F10065F3F021}"/>
            </a:ext>
          </a:extLst>
        </xdr:cNvPr>
        <xdr:cNvSpPr/>
      </xdr:nvSpPr>
      <xdr:spPr>
        <a:xfrm>
          <a:off x="6356350" y="7180263"/>
          <a:ext cx="1273175" cy="439736"/>
        </a:xfrm>
        <a:prstGeom prst="roundRect">
          <a:avLst/>
        </a:prstGeom>
        <a:gradFill flip="none" rotWithShape="1">
          <a:gsLst>
            <a:gs pos="0">
              <a:srgbClr val="D72638"/>
            </a:gs>
            <a:gs pos="23000">
              <a:srgbClr val="D72638"/>
            </a:gs>
            <a:gs pos="87000">
              <a:srgbClr val="D72638"/>
            </a:gs>
            <a:gs pos="97000">
              <a:schemeClr val="bg1"/>
            </a:gs>
          </a:gsLst>
          <a:path path="circle">
            <a:fillToRect l="50000" t="50000" r="50000" b="5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Semibold" panose="020B0702040204020203" pitchFamily="34" charset="0"/>
              <a:cs typeface="Segoe UI Semibold" panose="020B0702040204020203" pitchFamily="34" charset="0"/>
            </a:rPr>
            <a:t>Anterior</a:t>
          </a:r>
        </a:p>
      </xdr:txBody>
    </xdr:sp>
    <xdr:clientData/>
  </xdr:twoCellAnchor>
  <xdr:twoCellAnchor editAs="oneCell">
    <xdr:from>
      <xdr:col>1</xdr:col>
      <xdr:colOff>1587</xdr:colOff>
      <xdr:row>0</xdr:row>
      <xdr:rowOff>66675</xdr:rowOff>
    </xdr:from>
    <xdr:to>
      <xdr:col>6</xdr:col>
      <xdr:colOff>88917</xdr:colOff>
      <xdr:row>7</xdr:row>
      <xdr:rowOff>452437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93FD4B16-8E7F-41C6-8A40-F4E42172CD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517" b="24517"/>
        <a:stretch>
          <a:fillRect/>
        </a:stretch>
      </xdr:blipFill>
      <xdr:spPr>
        <a:xfrm>
          <a:off x="215900" y="66675"/>
          <a:ext cx="7604142" cy="1663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65FB48-39F0-44DA-88D2-B32CF4BD57D7}" name="Tabela2" displayName="Tabela2" ref="D13:F34" totalsRowShown="0" headerRowDxfId="4" dataDxfId="0" headerRowBorderDxfId="5" tableBorderDxfId="6">
  <autoFilter ref="D13:F34" xr:uid="{0865FB48-39F0-44DA-88D2-B32CF4BD57D7}"/>
  <tableColumns count="3">
    <tableColumn id="1" xr3:uid="{8BE47097-46E4-49B4-972C-A243E346302D}" name="DATA" dataDxfId="3"/>
    <tableColumn id="2" xr3:uid="{6776C17E-D60A-486A-8E49-86EFA808CF77}" name="CATEGORIA" dataDxfId="2"/>
    <tableColumn id="3" xr3:uid="{F1625207-4870-4966-AECE-613D02CBF37A}" name="VALOR" dataDxfId="1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471CDD1-5992-4429-95C5-7ADDE701228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fa022e5d-4699-43d8-95d4-879dfc0f7ec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contabilidade@spincorp.com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87F40-4DD0-4C16-AA69-D34E31F63C13}">
  <sheetPr codeName="Planilha1"/>
  <dimension ref="B1:F29"/>
  <sheetViews>
    <sheetView showGridLines="0" showRowColHeaders="0" zoomScale="80" zoomScaleNormal="80" workbookViewId="0"/>
  </sheetViews>
  <sheetFormatPr defaultColWidth="0" defaultRowHeight="14.5" zeroHeight="1" x14ac:dyDescent="0.35"/>
  <cols>
    <col min="1" max="1" width="2" customWidth="1"/>
    <col min="2" max="2" width="23.1796875" customWidth="1"/>
    <col min="3" max="3" width="1.26953125" customWidth="1"/>
    <col min="4" max="5" width="50" customWidth="1"/>
    <col min="6" max="6" width="6" customWidth="1"/>
    <col min="7" max="7" width="2" customWidth="1"/>
    <col min="8" max="16384" width="8.7265625" hidden="1"/>
  </cols>
  <sheetData>
    <row r="1" spans="2:6" x14ac:dyDescent="0.35"/>
    <row r="2" spans="2:6" x14ac:dyDescent="0.35"/>
    <row r="3" spans="2:6" x14ac:dyDescent="0.35"/>
    <row r="4" spans="2:6" x14ac:dyDescent="0.35"/>
    <row r="5" spans="2:6" x14ac:dyDescent="0.35"/>
    <row r="6" spans="2:6" x14ac:dyDescent="0.35"/>
    <row r="7" spans="2:6" x14ac:dyDescent="0.35"/>
    <row r="8" spans="2:6" ht="69" customHeight="1" thickBot="1" x14ac:dyDescent="0.4"/>
    <row r="9" spans="2:6" s="3" customFormat="1" ht="18.5" customHeight="1" thickTop="1" thickBot="1" x14ac:dyDescent="0.4">
      <c r="B9" s="2"/>
      <c r="D9" s="17" t="s">
        <v>14</v>
      </c>
      <c r="E9" s="18"/>
      <c r="F9" s="9"/>
    </row>
    <row r="10" spans="2:6" s="3" customFormat="1" ht="18.5" customHeight="1" thickTop="1" thickBot="1" x14ac:dyDescent="0.4">
      <c r="B10" s="2"/>
      <c r="D10" s="7" t="s">
        <v>167</v>
      </c>
      <c r="E10" s="8"/>
      <c r="F10" s="8"/>
    </row>
    <row r="11" spans="2:6" s="3" customFormat="1" ht="6.5" customHeight="1" thickTop="1" thickBot="1" x14ac:dyDescent="0.4">
      <c r="B11" s="2"/>
    </row>
    <row r="12" spans="2:6" s="3" customFormat="1" ht="17" thickTop="1" x14ac:dyDescent="0.35">
      <c r="B12" s="2"/>
      <c r="D12" s="4" t="s">
        <v>0</v>
      </c>
      <c r="E12" s="26" t="s">
        <v>17</v>
      </c>
    </row>
    <row r="13" spans="2:6" s="3" customFormat="1" ht="16.5" x14ac:dyDescent="0.35">
      <c r="B13" s="2"/>
      <c r="D13" s="5" t="s">
        <v>1</v>
      </c>
      <c r="E13" s="27">
        <v>78945612312</v>
      </c>
    </row>
    <row r="14" spans="2:6" s="3" customFormat="1" ht="16.5" x14ac:dyDescent="0.35">
      <c r="B14" s="2"/>
      <c r="D14" s="5" t="s">
        <v>2</v>
      </c>
      <c r="E14" s="28">
        <v>36951</v>
      </c>
    </row>
    <row r="15" spans="2:6" s="3" customFormat="1" ht="16.5" x14ac:dyDescent="0.35">
      <c r="B15" s="2"/>
      <c r="D15" s="5" t="s">
        <v>3</v>
      </c>
      <c r="E15" s="29">
        <v>83200000</v>
      </c>
    </row>
    <row r="16" spans="2:6" s="3" customFormat="1" ht="16.5" x14ac:dyDescent="0.35">
      <c r="B16" s="2"/>
      <c r="D16" s="5" t="s">
        <v>4</v>
      </c>
      <c r="E16" s="30" t="s">
        <v>18</v>
      </c>
    </row>
    <row r="17" spans="2:5" s="3" customFormat="1" ht="16.5" x14ac:dyDescent="0.35">
      <c r="B17" s="2"/>
      <c r="D17" s="5" t="s">
        <v>5</v>
      </c>
      <c r="E17" s="30" t="s">
        <v>19</v>
      </c>
    </row>
    <row r="18" spans="2:5" s="3" customFormat="1" ht="16.5" x14ac:dyDescent="0.35">
      <c r="B18" s="2"/>
      <c r="D18" s="5" t="s">
        <v>6</v>
      </c>
      <c r="E18" s="30" t="s">
        <v>20</v>
      </c>
    </row>
    <row r="19" spans="2:5" s="3" customFormat="1" ht="16.5" x14ac:dyDescent="0.35">
      <c r="B19" s="2"/>
      <c r="D19" s="5" t="s">
        <v>7</v>
      </c>
      <c r="E19" s="30">
        <v>68459123</v>
      </c>
    </row>
    <row r="20" spans="2:5" s="3" customFormat="1" ht="16.5" x14ac:dyDescent="0.35">
      <c r="B20" s="2"/>
      <c r="D20" s="5" t="s">
        <v>8</v>
      </c>
      <c r="E20" s="31">
        <v>1145697850</v>
      </c>
    </row>
    <row r="21" spans="2:5" s="3" customFormat="1" ht="16.5" x14ac:dyDescent="0.35">
      <c r="B21" s="2"/>
      <c r="D21" s="5" t="s">
        <v>9</v>
      </c>
      <c r="E21" s="32" t="s">
        <v>21</v>
      </c>
    </row>
    <row r="22" spans="2:5" s="3" customFormat="1" ht="16.5" x14ac:dyDescent="0.35">
      <c r="D22" s="5" t="s">
        <v>10</v>
      </c>
      <c r="E22" s="33" t="s">
        <v>16</v>
      </c>
    </row>
    <row r="23" spans="2:5" s="3" customFormat="1" ht="16.5" x14ac:dyDescent="0.35">
      <c r="D23" s="5" t="s">
        <v>11</v>
      </c>
      <c r="E23" s="30" t="s">
        <v>22</v>
      </c>
    </row>
    <row r="24" spans="2:5" s="3" customFormat="1" ht="16.5" x14ac:dyDescent="0.35">
      <c r="D24" s="5" t="s">
        <v>12</v>
      </c>
      <c r="E24" s="30" t="s">
        <v>15</v>
      </c>
    </row>
    <row r="25" spans="2:5" s="3" customFormat="1" ht="17" thickBot="1" x14ac:dyDescent="0.4">
      <c r="D25" s="6" t="s">
        <v>13</v>
      </c>
      <c r="E25" s="34" t="s">
        <v>15</v>
      </c>
    </row>
    <row r="26" spans="2:5" ht="15" thickTop="1" x14ac:dyDescent="0.35"/>
    <row r="27" spans="2:5" x14ac:dyDescent="0.35"/>
    <row r="28" spans="2:5" x14ac:dyDescent="0.35"/>
    <row r="29" spans="2:5" x14ac:dyDescent="0.35"/>
  </sheetData>
  <sheetProtection algorithmName="SHA-512" hashValue="4Li2WLdFFNOnL54bzWJp97wsnUXmho4aPFPXFLcY6tRTbZXP/LX+rfPbKl8dupl7KC7YMIG2/5QKngYvBePrOQ==" saltValue="qfo3FeAcO5732n7untNgAQ==" spinCount="100000" sheet="1" objects="1" scenarios="1"/>
  <mergeCells count="1">
    <mergeCell ref="D9:E9"/>
  </mergeCells>
  <dataValidations count="1">
    <dataValidation type="list" allowBlank="1" showInputMessage="1" showErrorMessage="1" sqref="E23:E25" xr:uid="{F00DA080-7F4F-426A-BDEC-4B4B20BBD737}">
      <formula1>"SIM,NÃO"</formula1>
    </dataValidation>
  </dataValidations>
  <hyperlinks>
    <hyperlink ref="E22" r:id="rId1" xr:uid="{093F3B87-53AB-48F5-8B93-D67F241B3841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CBD66-818E-477B-AC4A-FA78B49C0744}">
  <sheetPr codeName="Planilha2"/>
  <dimension ref="B1:F32"/>
  <sheetViews>
    <sheetView showGridLines="0" showRowColHeaders="0" view="pageBreakPreview" zoomScale="60" zoomScaleNormal="80" workbookViewId="0"/>
  </sheetViews>
  <sheetFormatPr defaultColWidth="0" defaultRowHeight="14.5" zeroHeight="1" x14ac:dyDescent="0.35"/>
  <cols>
    <col min="1" max="1" width="1.54296875" customWidth="1"/>
    <col min="2" max="2" width="23.90625" customWidth="1"/>
    <col min="3" max="3" width="2.1796875" customWidth="1"/>
    <col min="4" max="5" width="49.7265625" customWidth="1"/>
    <col min="6" max="6" width="6" customWidth="1"/>
    <col min="7" max="7" width="1.54296875" customWidth="1"/>
    <col min="8" max="16384" width="8.7265625" hidden="1"/>
  </cols>
  <sheetData>
    <row r="1" spans="2:6" x14ac:dyDescent="0.35"/>
    <row r="2" spans="2:6" x14ac:dyDescent="0.35"/>
    <row r="3" spans="2:6" x14ac:dyDescent="0.35"/>
    <row r="4" spans="2:6" x14ac:dyDescent="0.35"/>
    <row r="5" spans="2:6" x14ac:dyDescent="0.35"/>
    <row r="6" spans="2:6" x14ac:dyDescent="0.35"/>
    <row r="7" spans="2:6" x14ac:dyDescent="0.35"/>
    <row r="8" spans="2:6" ht="68.5" customHeight="1" thickBot="1" x14ac:dyDescent="0.4"/>
    <row r="9" spans="2:6" ht="17.5" thickTop="1" thickBot="1" x14ac:dyDescent="0.4">
      <c r="B9" s="1"/>
      <c r="D9" s="17" t="s">
        <v>165</v>
      </c>
      <c r="E9" s="18"/>
      <c r="F9" s="9"/>
    </row>
    <row r="10" spans="2:6" ht="16" thickTop="1" thickBot="1" x14ac:dyDescent="0.4">
      <c r="B10" s="1"/>
      <c r="D10" s="7" t="s">
        <v>166</v>
      </c>
      <c r="E10" s="8"/>
      <c r="F10" s="8"/>
    </row>
    <row r="11" spans="2:6" ht="8" customHeight="1" thickTop="1" thickBot="1" x14ac:dyDescent="0.4">
      <c r="B11" s="1"/>
      <c r="D11" s="3"/>
      <c r="E11" s="3"/>
      <c r="F11" s="3"/>
    </row>
    <row r="12" spans="2:6" ht="17.5" thickTop="1" thickBot="1" x14ac:dyDescent="0.4">
      <c r="B12" s="1"/>
      <c r="D12" s="13" t="s">
        <v>170</v>
      </c>
      <c r="E12" s="14">
        <f>SUM(E15,E19,E23,E27)</f>
        <v>236477.25</v>
      </c>
      <c r="F12" s="3"/>
    </row>
    <row r="13" spans="2:6" ht="8" customHeight="1" thickTop="1" thickBot="1" x14ac:dyDescent="0.4">
      <c r="B13" s="1"/>
      <c r="F13" s="3"/>
    </row>
    <row r="14" spans="2:6" ht="17" thickTop="1" x14ac:dyDescent="0.35">
      <c r="B14" s="1"/>
      <c r="D14" s="4" t="s">
        <v>23</v>
      </c>
      <c r="E14" s="26" t="s">
        <v>172</v>
      </c>
      <c r="F14" s="3"/>
    </row>
    <row r="15" spans="2:6" ht="16.5" x14ac:dyDescent="0.35">
      <c r="B15" s="1"/>
      <c r="D15" s="5" t="s">
        <v>168</v>
      </c>
      <c r="E15" s="35">
        <v>45612</v>
      </c>
      <c r="F15" s="3"/>
    </row>
    <row r="16" spans="2:6" ht="17" thickBot="1" x14ac:dyDescent="0.4">
      <c r="B16" s="1"/>
      <c r="D16" s="6" t="s">
        <v>169</v>
      </c>
      <c r="E16" s="36" t="s">
        <v>176</v>
      </c>
      <c r="F16" s="3"/>
    </row>
    <row r="17" spans="2:6" ht="8" customHeight="1" thickTop="1" thickBot="1" x14ac:dyDescent="0.4">
      <c r="B17" s="1"/>
      <c r="F17" s="3"/>
    </row>
    <row r="18" spans="2:6" ht="17" thickTop="1" x14ac:dyDescent="0.35">
      <c r="B18" s="1"/>
      <c r="D18" s="4" t="s">
        <v>23</v>
      </c>
      <c r="E18" s="26" t="s">
        <v>173</v>
      </c>
      <c r="F18" s="3"/>
    </row>
    <row r="19" spans="2:6" ht="16.5" x14ac:dyDescent="0.35">
      <c r="B19" s="1"/>
      <c r="D19" s="5" t="s">
        <v>168</v>
      </c>
      <c r="E19" s="35">
        <v>98456.23</v>
      </c>
      <c r="F19" s="3"/>
    </row>
    <row r="20" spans="2:6" ht="17" thickBot="1" x14ac:dyDescent="0.4">
      <c r="B20" s="1"/>
      <c r="D20" s="6" t="s">
        <v>169</v>
      </c>
      <c r="E20" s="37" t="s">
        <v>177</v>
      </c>
      <c r="F20" s="3"/>
    </row>
    <row r="21" spans="2:6" ht="8" customHeight="1" thickTop="1" thickBot="1" x14ac:dyDescent="0.4">
      <c r="B21" s="1"/>
      <c r="F21" s="3"/>
    </row>
    <row r="22" spans="2:6" ht="17" thickTop="1" x14ac:dyDescent="0.35">
      <c r="D22" s="4" t="s">
        <v>23</v>
      </c>
      <c r="E22" s="26" t="s">
        <v>174</v>
      </c>
      <c r="F22" s="3"/>
    </row>
    <row r="23" spans="2:6" ht="16.5" x14ac:dyDescent="0.35">
      <c r="D23" s="5" t="s">
        <v>168</v>
      </c>
      <c r="E23" s="35">
        <v>78952.13</v>
      </c>
      <c r="F23" s="3"/>
    </row>
    <row r="24" spans="2:6" ht="17" thickBot="1" x14ac:dyDescent="0.4">
      <c r="D24" s="6" t="s">
        <v>169</v>
      </c>
      <c r="E24" s="37" t="s">
        <v>178</v>
      </c>
      <c r="F24" s="3"/>
    </row>
    <row r="25" spans="2:6" ht="8" customHeight="1" thickTop="1" thickBot="1" x14ac:dyDescent="0.4">
      <c r="F25" s="3"/>
    </row>
    <row r="26" spans="2:6" ht="17" thickTop="1" x14ac:dyDescent="0.35">
      <c r="D26" s="4" t="s">
        <v>23</v>
      </c>
      <c r="E26" s="26" t="s">
        <v>175</v>
      </c>
    </row>
    <row r="27" spans="2:6" ht="16.5" x14ac:dyDescent="0.35">
      <c r="D27" s="5" t="s">
        <v>168</v>
      </c>
      <c r="E27" s="35">
        <v>13456.89</v>
      </c>
    </row>
    <row r="28" spans="2:6" ht="17" thickBot="1" x14ac:dyDescent="0.4">
      <c r="D28" s="6" t="s">
        <v>169</v>
      </c>
      <c r="E28" s="37" t="s">
        <v>179</v>
      </c>
    </row>
    <row r="29" spans="2:6" ht="8" customHeight="1" thickTop="1" x14ac:dyDescent="0.35"/>
    <row r="30" spans="2:6" x14ac:dyDescent="0.35"/>
    <row r="31" spans="2:6" x14ac:dyDescent="0.35"/>
    <row r="32" spans="2:6" x14ac:dyDescent="0.35"/>
  </sheetData>
  <sheetProtection algorithmName="SHA-512" hashValue="nVQseRY757Zqv8nIW3OKSHzkTDjgFAOaarVHh+kEDLfHketGmnNzvU4+w5w6wP0Wj6Ut6CHFpAjKJOpEXarJiw==" saltValue="PRtM9FWYzfUy962kpptatw==" spinCount="100000" sheet="1" objects="1" scenarios="1"/>
  <mergeCells count="1">
    <mergeCell ref="D9:E9"/>
  </mergeCells>
  <pageMargins left="0.511811024" right="0.511811024" top="0.78740157499999996" bottom="0.78740157499999996" header="0.31496062000000002" footer="0.31496062000000002"/>
  <pageSetup paperSize="9"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Banco Não Econtrado" promptTitle="Banco" prompt="Informe Seu Banco" xr:uid="{98080233-8E98-4700-96FB-4308FA9FB500}">
          <x14:formula1>
            <xm:f>Tabelas!$C$2:$C$140</xm:f>
          </x14:formula1>
          <xm:sqref>E14 E18 E22 E26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75002-C275-4BD7-9F40-63C8BEF023A2}">
  <sheetPr codeName="Planilha3"/>
  <dimension ref="B1:F38"/>
  <sheetViews>
    <sheetView showGridLines="0" showRowColHeaders="0" tabSelected="1" view="pageBreakPreview" zoomScale="60" zoomScaleNormal="80" workbookViewId="0">
      <selection activeCell="D14" sqref="D14"/>
    </sheetView>
  </sheetViews>
  <sheetFormatPr defaultColWidth="0" defaultRowHeight="14.5" zeroHeight="1" x14ac:dyDescent="0.35"/>
  <cols>
    <col min="1" max="1" width="1.453125" customWidth="1"/>
    <col min="2" max="2" width="20.81640625" customWidth="1"/>
    <col min="3" max="3" width="1.54296875" customWidth="1"/>
    <col min="4" max="6" width="28.36328125" style="19" customWidth="1"/>
    <col min="7" max="7" width="1.54296875" customWidth="1"/>
    <col min="8" max="16384" width="8.7265625" hidden="1"/>
  </cols>
  <sheetData>
    <row r="1" spans="2:6" x14ac:dyDescent="0.35"/>
    <row r="2" spans="2:6" x14ac:dyDescent="0.35"/>
    <row r="3" spans="2:6" x14ac:dyDescent="0.35"/>
    <row r="4" spans="2:6" x14ac:dyDescent="0.35"/>
    <row r="5" spans="2:6" x14ac:dyDescent="0.35"/>
    <row r="6" spans="2:6" x14ac:dyDescent="0.35"/>
    <row r="7" spans="2:6" x14ac:dyDescent="0.35"/>
    <row r="8" spans="2:6" ht="41" customHeight="1" thickBot="1" x14ac:dyDescent="0.4"/>
    <row r="9" spans="2:6" ht="17.5" thickTop="1" thickBot="1" x14ac:dyDescent="0.4">
      <c r="B9" s="1"/>
      <c r="D9" s="17" t="s">
        <v>180</v>
      </c>
      <c r="E9" s="18"/>
      <c r="F9" s="16"/>
    </row>
    <row r="10" spans="2:6" ht="16" thickTop="1" thickBot="1" x14ac:dyDescent="0.4">
      <c r="B10" s="1"/>
      <c r="D10" s="20" t="s">
        <v>181</v>
      </c>
      <c r="E10" s="21"/>
      <c r="F10" s="21"/>
    </row>
    <row r="11" spans="2:6" ht="5.5" customHeight="1" thickTop="1" x14ac:dyDescent="0.35">
      <c r="B11" s="1"/>
    </row>
    <row r="12" spans="2:6" ht="17" thickBot="1" x14ac:dyDescent="0.4">
      <c r="B12" s="1"/>
      <c r="D12" s="22" t="s">
        <v>185</v>
      </c>
      <c r="E12" s="22"/>
      <c r="F12" s="22"/>
    </row>
    <row r="13" spans="2:6" ht="17.5" thickTop="1" thickBot="1" x14ac:dyDescent="0.4">
      <c r="B13" s="1"/>
      <c r="D13" s="23" t="s">
        <v>182</v>
      </c>
      <c r="E13" s="24" t="s">
        <v>183</v>
      </c>
      <c r="F13" s="25" t="s">
        <v>184</v>
      </c>
    </row>
    <row r="14" spans="2:6" ht="17" thickTop="1" x14ac:dyDescent="0.35">
      <c r="B14" s="1"/>
      <c r="D14" s="38">
        <v>46275</v>
      </c>
      <c r="E14" s="39" t="s">
        <v>186</v>
      </c>
      <c r="F14" s="40">
        <v>5700</v>
      </c>
    </row>
    <row r="15" spans="2:6" ht="16.5" x14ac:dyDescent="0.35">
      <c r="B15" s="1"/>
      <c r="D15" s="38">
        <v>46275</v>
      </c>
      <c r="E15" s="39" t="s">
        <v>187</v>
      </c>
      <c r="F15" s="40">
        <v>5800</v>
      </c>
    </row>
    <row r="16" spans="2:6" ht="16.5" x14ac:dyDescent="0.35">
      <c r="B16" s="1"/>
      <c r="D16" s="38">
        <v>46276</v>
      </c>
      <c r="E16" s="39" t="s">
        <v>188</v>
      </c>
      <c r="F16" s="40">
        <v>15000</v>
      </c>
    </row>
    <row r="17" spans="2:6" ht="16.5" x14ac:dyDescent="0.35">
      <c r="B17" s="1"/>
      <c r="D17" s="38">
        <v>46277</v>
      </c>
      <c r="E17" s="39" t="s">
        <v>187</v>
      </c>
      <c r="F17" s="40">
        <v>5000</v>
      </c>
    </row>
    <row r="18" spans="2:6" ht="16.5" x14ac:dyDescent="0.35">
      <c r="B18" s="1"/>
      <c r="D18" s="38"/>
      <c r="E18" s="39"/>
      <c r="F18" s="40"/>
    </row>
    <row r="19" spans="2:6" ht="16.5" x14ac:dyDescent="0.35">
      <c r="B19" s="1"/>
      <c r="D19" s="38"/>
      <c r="E19" s="39"/>
      <c r="F19" s="40"/>
    </row>
    <row r="20" spans="2:6" ht="16.5" x14ac:dyDescent="0.35">
      <c r="B20" s="1"/>
      <c r="D20" s="38"/>
      <c r="E20" s="39"/>
      <c r="F20" s="40"/>
    </row>
    <row r="21" spans="2:6" ht="16.5" x14ac:dyDescent="0.35">
      <c r="B21" s="1"/>
      <c r="D21" s="39"/>
      <c r="E21" s="39"/>
      <c r="F21" s="40"/>
    </row>
    <row r="22" spans="2:6" ht="16.5" x14ac:dyDescent="0.35">
      <c r="D22" s="39"/>
      <c r="E22" s="39"/>
      <c r="F22" s="40"/>
    </row>
    <row r="23" spans="2:6" ht="16.5" x14ac:dyDescent="0.35">
      <c r="D23" s="39"/>
      <c r="E23" s="39"/>
      <c r="F23" s="40"/>
    </row>
    <row r="24" spans="2:6" ht="16.5" x14ac:dyDescent="0.35">
      <c r="D24" s="39"/>
      <c r="E24" s="39"/>
      <c r="F24" s="40"/>
    </row>
    <row r="25" spans="2:6" ht="16.5" x14ac:dyDescent="0.35">
      <c r="D25" s="39"/>
      <c r="E25" s="39"/>
      <c r="F25" s="40"/>
    </row>
    <row r="26" spans="2:6" ht="16.5" x14ac:dyDescent="0.35">
      <c r="D26" s="39"/>
      <c r="E26" s="39"/>
      <c r="F26" s="40"/>
    </row>
    <row r="27" spans="2:6" ht="16.5" x14ac:dyDescent="0.35">
      <c r="D27" s="39"/>
      <c r="E27" s="39"/>
      <c r="F27" s="40"/>
    </row>
    <row r="28" spans="2:6" ht="16.5" x14ac:dyDescent="0.35">
      <c r="D28" s="39"/>
      <c r="E28" s="39"/>
      <c r="F28" s="40"/>
    </row>
    <row r="29" spans="2:6" ht="16.5" x14ac:dyDescent="0.35">
      <c r="D29" s="39"/>
      <c r="E29" s="39"/>
      <c r="F29" s="40"/>
    </row>
    <row r="30" spans="2:6" ht="16.5" x14ac:dyDescent="0.35">
      <c r="D30" s="39"/>
      <c r="E30" s="39"/>
      <c r="F30" s="40"/>
    </row>
    <row r="31" spans="2:6" ht="16.5" x14ac:dyDescent="0.35">
      <c r="D31" s="39"/>
      <c r="E31" s="39"/>
      <c r="F31" s="40"/>
    </row>
    <row r="32" spans="2:6" ht="16.5" x14ac:dyDescent="0.35">
      <c r="D32" s="39"/>
      <c r="E32" s="39"/>
      <c r="F32" s="40"/>
    </row>
    <row r="33" spans="4:6" ht="16.5" x14ac:dyDescent="0.35">
      <c r="D33" s="39"/>
      <c r="E33" s="39"/>
      <c r="F33" s="40"/>
    </row>
    <row r="34" spans="4:6" ht="16.5" x14ac:dyDescent="0.35">
      <c r="D34" s="39"/>
      <c r="E34" s="39"/>
      <c r="F34" s="40"/>
    </row>
    <row r="35" spans="4:6" x14ac:dyDescent="0.35"/>
    <row r="36" spans="4:6" x14ac:dyDescent="0.35"/>
    <row r="37" spans="4:6" x14ac:dyDescent="0.35"/>
    <row r="38" spans="4:6" x14ac:dyDescent="0.35"/>
  </sheetData>
  <sheetProtection algorithmName="SHA-512" hashValue="SwJlKAMUwsawOWdfDRAMygSvW7gogyx9tE+NtOmz7Uw46RTyJrB9f+FJMtcJ2ZGqY9jhWEG3wyxldgRt9YBJmA==" saltValue="0/CqFCiUQAXIl3nmqORXXg==" spinCount="100000" sheet="1" objects="1" scenarios="1" selectLockedCells="1"/>
  <mergeCells count="3">
    <mergeCell ref="D9:E9"/>
    <mergeCell ref="D10:F10"/>
    <mergeCell ref="D12:F12"/>
  </mergeCells>
  <dataValidations count="1">
    <dataValidation type="list" allowBlank="1" showInputMessage="1" showErrorMessage="1" sqref="E14:E34" xr:uid="{AC94B541-81F6-4C81-AFA3-84D69C7BA109}">
      <formula1>"HOLERITE, CNPJ, FREELANCE"</formula1>
    </dataValidation>
  </dataValidations>
  <pageMargins left="0.511811024" right="0.511811024" top="0.78740157499999996" bottom="0.78740157499999996" header="0.31496062000000002" footer="0.31496062000000002"/>
  <pageSetup paperSize="9" scale="83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1B1A6-11C7-4F4E-8656-1FBBA0944B41}">
  <sheetPr codeName="Planilha4"/>
  <dimension ref="A1:C171"/>
  <sheetViews>
    <sheetView topLeftCell="A108" workbookViewId="0">
      <selection activeCell="C140" sqref="C2:C140"/>
    </sheetView>
  </sheetViews>
  <sheetFormatPr defaultColWidth="61.1796875" defaultRowHeight="14.5" x14ac:dyDescent="0.35"/>
  <cols>
    <col min="1" max="1" width="16.453125" bestFit="1" customWidth="1"/>
    <col min="2" max="2" width="80.6328125" customWidth="1"/>
  </cols>
  <sheetData>
    <row r="1" spans="1:3" ht="16.5" x14ac:dyDescent="0.35">
      <c r="A1" s="12" t="s">
        <v>163</v>
      </c>
      <c r="B1" s="12" t="s">
        <v>164</v>
      </c>
      <c r="C1" s="12" t="s">
        <v>171</v>
      </c>
    </row>
    <row r="2" spans="1:3" ht="16.5" x14ac:dyDescent="0.35">
      <c r="A2" s="10">
        <v>1</v>
      </c>
      <c r="B2" s="11" t="s">
        <v>24</v>
      </c>
      <c r="C2" s="15" t="str">
        <f>A2&amp;" - "&amp;B2</f>
        <v>1 - BANCO DO BRASIL S.A.</v>
      </c>
    </row>
    <row r="3" spans="1:3" ht="16.5" x14ac:dyDescent="0.35">
      <c r="A3" s="10">
        <v>3</v>
      </c>
      <c r="B3" s="11" t="s">
        <v>25</v>
      </c>
      <c r="C3" s="15" t="str">
        <f t="shared" ref="C3:C66" si="0">A3&amp;" - "&amp;B3</f>
        <v>3 - BANCO DA AMAZONIA S.A.</v>
      </c>
    </row>
    <row r="4" spans="1:3" ht="16.5" x14ac:dyDescent="0.35">
      <c r="A4" s="10">
        <v>4</v>
      </c>
      <c r="B4" s="11" t="s">
        <v>26</v>
      </c>
      <c r="C4" s="15" t="str">
        <f t="shared" si="0"/>
        <v>4 - BANCO DO NORDESTE DO BRASIL S.A.</v>
      </c>
    </row>
    <row r="5" spans="1:3" ht="16.5" x14ac:dyDescent="0.35">
      <c r="A5" s="10">
        <v>7</v>
      </c>
      <c r="B5" s="11" t="s">
        <v>27</v>
      </c>
      <c r="C5" s="15" t="str">
        <f t="shared" si="0"/>
        <v>7 - BANCO NACIONAL DE DESENVOLVIMENTO ECONOMICO E SOCIAL</v>
      </c>
    </row>
    <row r="6" spans="1:3" ht="16.5" x14ac:dyDescent="0.35">
      <c r="A6" s="10">
        <v>12</v>
      </c>
      <c r="B6" s="11" t="s">
        <v>28</v>
      </c>
      <c r="C6" s="15" t="str">
        <f t="shared" si="0"/>
        <v>12 - BANCO INBURSA S.A.</v>
      </c>
    </row>
    <row r="7" spans="1:3" ht="16.5" x14ac:dyDescent="0.35">
      <c r="A7" s="10">
        <v>14</v>
      </c>
      <c r="B7" s="11" t="s">
        <v>29</v>
      </c>
      <c r="C7" s="15" t="str">
        <f t="shared" si="0"/>
        <v>14 - STATE STREET BRASIL S.A. - BANCO COMERCIAL</v>
      </c>
    </row>
    <row r="8" spans="1:3" ht="16.5" x14ac:dyDescent="0.35">
      <c r="A8" s="10">
        <v>17</v>
      </c>
      <c r="B8" s="11" t="s">
        <v>30</v>
      </c>
      <c r="C8" s="15" t="str">
        <f t="shared" si="0"/>
        <v>17 - BNY MELLON BANCO S.A.</v>
      </c>
    </row>
    <row r="9" spans="1:3" ht="16.5" x14ac:dyDescent="0.35">
      <c r="A9" s="10">
        <v>18</v>
      </c>
      <c r="B9" s="11" t="s">
        <v>31</v>
      </c>
      <c r="C9" s="15" t="str">
        <f t="shared" si="0"/>
        <v>18 - BANCO TRICURY S.A.</v>
      </c>
    </row>
    <row r="10" spans="1:3" ht="16.5" x14ac:dyDescent="0.35">
      <c r="A10" s="10">
        <v>21</v>
      </c>
      <c r="B10" s="11" t="s">
        <v>32</v>
      </c>
      <c r="C10" s="15" t="str">
        <f t="shared" si="0"/>
        <v>21 - BANESTES S.A. BANCO DO ESTADO DO ESPIRITO SANTO</v>
      </c>
    </row>
    <row r="11" spans="1:3" ht="16.5" x14ac:dyDescent="0.35">
      <c r="A11" s="10">
        <v>24</v>
      </c>
      <c r="B11" s="11" t="s">
        <v>33</v>
      </c>
      <c r="C11" s="15" t="str">
        <f t="shared" si="0"/>
        <v>24 - BANCO BANDEPE S.A.</v>
      </c>
    </row>
    <row r="12" spans="1:3" ht="16.5" x14ac:dyDescent="0.35">
      <c r="A12" s="10">
        <v>25</v>
      </c>
      <c r="B12" s="11" t="s">
        <v>34</v>
      </c>
      <c r="C12" s="15" t="str">
        <f t="shared" si="0"/>
        <v>25 - BANCO ALFA S.A.</v>
      </c>
    </row>
    <row r="13" spans="1:3" ht="16.5" x14ac:dyDescent="0.35">
      <c r="A13" s="10">
        <v>33</v>
      </c>
      <c r="B13" s="11" t="s">
        <v>35</v>
      </c>
      <c r="C13" s="15" t="str">
        <f t="shared" si="0"/>
        <v>33 - BANCO SANTANDER (BRASIL) S.A.</v>
      </c>
    </row>
    <row r="14" spans="1:3" ht="16.5" x14ac:dyDescent="0.35">
      <c r="A14" s="10">
        <v>36</v>
      </c>
      <c r="B14" s="11" t="s">
        <v>36</v>
      </c>
      <c r="C14" s="15" t="str">
        <f t="shared" si="0"/>
        <v>36 - BANCO BRADESCO BBI S.A.</v>
      </c>
    </row>
    <row r="15" spans="1:3" ht="16.5" x14ac:dyDescent="0.35">
      <c r="A15" s="10">
        <v>37</v>
      </c>
      <c r="B15" s="11" t="s">
        <v>37</v>
      </c>
      <c r="C15" s="15" t="str">
        <f t="shared" si="0"/>
        <v>37 - BANCO DO ESTADO DO PARÁ S.A.</v>
      </c>
    </row>
    <row r="16" spans="1:3" ht="16.5" x14ac:dyDescent="0.35">
      <c r="A16" s="10">
        <v>40</v>
      </c>
      <c r="B16" s="11" t="s">
        <v>38</v>
      </c>
      <c r="C16" s="15" t="str">
        <f t="shared" si="0"/>
        <v>40 - BANCO CARGILL S.A.</v>
      </c>
    </row>
    <row r="17" spans="1:3" ht="16.5" x14ac:dyDescent="0.35">
      <c r="A17" s="10">
        <v>41</v>
      </c>
      <c r="B17" s="11" t="s">
        <v>39</v>
      </c>
      <c r="C17" s="15" t="str">
        <f t="shared" si="0"/>
        <v>41 - BANCO DO ESTADO DO RIO GRANDE DO SUL S.A.</v>
      </c>
    </row>
    <row r="18" spans="1:3" ht="16.5" x14ac:dyDescent="0.35">
      <c r="A18" s="10">
        <v>47</v>
      </c>
      <c r="B18" s="11" t="s">
        <v>40</v>
      </c>
      <c r="C18" s="15" t="str">
        <f t="shared" si="0"/>
        <v>47 - BANCO DO ESTADO DE SERGIPE S.A.</v>
      </c>
    </row>
    <row r="19" spans="1:3" ht="16.5" x14ac:dyDescent="0.35">
      <c r="A19" s="10">
        <v>63</v>
      </c>
      <c r="B19" s="11" t="s">
        <v>41</v>
      </c>
      <c r="C19" s="15" t="str">
        <f t="shared" si="0"/>
        <v>63 - BANCO BRADESCARD S.A.</v>
      </c>
    </row>
    <row r="20" spans="1:3" ht="16.5" x14ac:dyDescent="0.35">
      <c r="A20" s="10">
        <v>64</v>
      </c>
      <c r="B20" s="11" t="s">
        <v>42</v>
      </c>
      <c r="C20" s="15" t="str">
        <f t="shared" si="0"/>
        <v>64 - GOLDMAN SACHS DO BRASIL BANCO MULTIPLO S.A.</v>
      </c>
    </row>
    <row r="21" spans="1:3" ht="16.5" x14ac:dyDescent="0.35">
      <c r="A21" s="10">
        <v>65</v>
      </c>
      <c r="B21" s="11" t="s">
        <v>43</v>
      </c>
      <c r="C21" s="15" t="str">
        <f t="shared" si="0"/>
        <v>65 - BANCO ANDBANK (BRASIL) S.A.</v>
      </c>
    </row>
    <row r="22" spans="1:3" ht="16.5" x14ac:dyDescent="0.35">
      <c r="A22" s="10">
        <v>66</v>
      </c>
      <c r="B22" s="11" t="s">
        <v>44</v>
      </c>
      <c r="C22" s="15" t="str">
        <f t="shared" si="0"/>
        <v>66 - BANCO MORGAN STANLEY S.A.</v>
      </c>
    </row>
    <row r="23" spans="1:3" ht="16.5" x14ac:dyDescent="0.35">
      <c r="A23" s="10">
        <v>69</v>
      </c>
      <c r="B23" s="11" t="s">
        <v>45</v>
      </c>
      <c r="C23" s="15" t="str">
        <f t="shared" si="0"/>
        <v>69 - BANCO CREFISA S.A.</v>
      </c>
    </row>
    <row r="24" spans="1:3" ht="16.5" x14ac:dyDescent="0.35">
      <c r="A24" s="10">
        <v>70</v>
      </c>
      <c r="B24" s="11" t="s">
        <v>46</v>
      </c>
      <c r="C24" s="15" t="str">
        <f t="shared" si="0"/>
        <v>70 - BRB - BANCO DE BRASILIA S.A.</v>
      </c>
    </row>
    <row r="25" spans="1:3" ht="16.5" x14ac:dyDescent="0.35">
      <c r="A25" s="10">
        <v>74</v>
      </c>
      <c r="B25" s="11" t="s">
        <v>47</v>
      </c>
      <c r="C25" s="15" t="str">
        <f t="shared" si="0"/>
        <v>74 - BANCO J. SAFRA S.A.</v>
      </c>
    </row>
    <row r="26" spans="1:3" ht="16.5" x14ac:dyDescent="0.35">
      <c r="A26" s="10">
        <v>75</v>
      </c>
      <c r="B26" s="11" t="s">
        <v>48</v>
      </c>
      <c r="C26" s="15" t="str">
        <f t="shared" si="0"/>
        <v>75 - BANCO ABN AMRO CLEARING S.A.</v>
      </c>
    </row>
    <row r="27" spans="1:3" ht="16.5" x14ac:dyDescent="0.35">
      <c r="A27" s="10">
        <v>76</v>
      </c>
      <c r="B27" s="11" t="s">
        <v>49</v>
      </c>
      <c r="C27" s="15" t="str">
        <f t="shared" si="0"/>
        <v>76 - BANCO KDB DO BRASIL S.A.</v>
      </c>
    </row>
    <row r="28" spans="1:3" ht="16.5" x14ac:dyDescent="0.35">
      <c r="A28" s="10">
        <v>77</v>
      </c>
      <c r="B28" s="11" t="s">
        <v>50</v>
      </c>
      <c r="C28" s="15" t="str">
        <f t="shared" si="0"/>
        <v>77 - BANCO INTER S.A.</v>
      </c>
    </row>
    <row r="29" spans="1:3" ht="16.5" x14ac:dyDescent="0.35">
      <c r="A29" s="10">
        <v>78</v>
      </c>
      <c r="B29" s="11" t="s">
        <v>51</v>
      </c>
      <c r="C29" s="15" t="str">
        <f t="shared" si="0"/>
        <v>78 - HAITONG BANCO DE INVESTIMENTO DO BRASIL S.A.</v>
      </c>
    </row>
    <row r="30" spans="1:3" ht="16.5" x14ac:dyDescent="0.35">
      <c r="A30" s="10">
        <v>79</v>
      </c>
      <c r="B30" s="11" t="s">
        <v>52</v>
      </c>
      <c r="C30" s="15" t="str">
        <f t="shared" si="0"/>
        <v>79 - PICPAY BANK - BANCO MÚLTIPLO S.A</v>
      </c>
    </row>
    <row r="31" spans="1:3" ht="16.5" x14ac:dyDescent="0.35">
      <c r="A31" s="10">
        <v>81</v>
      </c>
      <c r="B31" s="11" t="s">
        <v>53</v>
      </c>
      <c r="C31" s="15" t="str">
        <f t="shared" si="0"/>
        <v>81 - BANCOSEGURO S.A.</v>
      </c>
    </row>
    <row r="32" spans="1:3" ht="16.5" x14ac:dyDescent="0.35">
      <c r="A32" s="10">
        <v>82</v>
      </c>
      <c r="B32" s="11" t="s">
        <v>54</v>
      </c>
      <c r="C32" s="15" t="str">
        <f t="shared" si="0"/>
        <v>82 - BANCO TOPÁZIO S.A.</v>
      </c>
    </row>
    <row r="33" spans="1:3" ht="16.5" x14ac:dyDescent="0.35">
      <c r="A33" s="10">
        <v>83</v>
      </c>
      <c r="B33" s="11" t="s">
        <v>55</v>
      </c>
      <c r="C33" s="15" t="str">
        <f t="shared" si="0"/>
        <v>83 - BANCO DA CHINA BRASIL S.A.</v>
      </c>
    </row>
    <row r="34" spans="1:3" ht="16.5" x14ac:dyDescent="0.35">
      <c r="A34" s="10">
        <v>88</v>
      </c>
      <c r="B34" s="11" t="s">
        <v>56</v>
      </c>
      <c r="C34" s="15" t="str">
        <f t="shared" si="0"/>
        <v>88 - BANCO RANDON S.A.</v>
      </c>
    </row>
    <row r="35" spans="1:3" ht="16.5" x14ac:dyDescent="0.35">
      <c r="A35" s="10">
        <v>94</v>
      </c>
      <c r="B35" s="11" t="s">
        <v>57</v>
      </c>
      <c r="C35" s="15" t="str">
        <f t="shared" si="0"/>
        <v>94 - BANCO FINAXIS S.A.</v>
      </c>
    </row>
    <row r="36" spans="1:3" ht="16.5" x14ac:dyDescent="0.35">
      <c r="A36" s="10">
        <v>95</v>
      </c>
      <c r="B36" s="11" t="s">
        <v>58</v>
      </c>
      <c r="C36" s="15" t="str">
        <f t="shared" si="0"/>
        <v>95 - BANCO TRAVELEX S.A.</v>
      </c>
    </row>
    <row r="37" spans="1:3" ht="16.5" x14ac:dyDescent="0.35">
      <c r="A37" s="10">
        <v>96</v>
      </c>
      <c r="B37" s="11" t="s">
        <v>59</v>
      </c>
      <c r="C37" s="15" t="str">
        <f t="shared" si="0"/>
        <v>96 - BANCO B3 S.A.</v>
      </c>
    </row>
    <row r="38" spans="1:3" ht="16.5" x14ac:dyDescent="0.35">
      <c r="A38" s="10">
        <v>104</v>
      </c>
      <c r="B38" s="11" t="s">
        <v>60</v>
      </c>
      <c r="C38" s="15" t="str">
        <f t="shared" si="0"/>
        <v>104 - CAIXA ECONOMICA FEDERAL</v>
      </c>
    </row>
    <row r="39" spans="1:3" ht="16.5" x14ac:dyDescent="0.35">
      <c r="A39" s="10">
        <v>107</v>
      </c>
      <c r="B39" s="11" t="s">
        <v>61</v>
      </c>
      <c r="C39" s="15" t="str">
        <f t="shared" si="0"/>
        <v>107 - BANCO BOCOM BBM S.A.</v>
      </c>
    </row>
    <row r="40" spans="1:3" ht="16.5" x14ac:dyDescent="0.35">
      <c r="A40" s="10">
        <v>119</v>
      </c>
      <c r="B40" s="11" t="s">
        <v>62</v>
      </c>
      <c r="C40" s="15" t="str">
        <f t="shared" si="0"/>
        <v>119 - BANCO WESTERN UNION DO BRASIL S.A.</v>
      </c>
    </row>
    <row r="41" spans="1:3" ht="16.5" x14ac:dyDescent="0.35">
      <c r="A41" s="10">
        <v>120</v>
      </c>
      <c r="B41" s="11" t="s">
        <v>63</v>
      </c>
      <c r="C41" s="15" t="str">
        <f t="shared" si="0"/>
        <v>120 - BANCO RODOBENS S.A.</v>
      </c>
    </row>
    <row r="42" spans="1:3" ht="16.5" x14ac:dyDescent="0.35">
      <c r="A42" s="10">
        <v>121</v>
      </c>
      <c r="B42" s="11" t="s">
        <v>64</v>
      </c>
      <c r="C42" s="15" t="str">
        <f t="shared" si="0"/>
        <v>121 - BANCO AGIBANK S.A.</v>
      </c>
    </row>
    <row r="43" spans="1:3" ht="16.5" x14ac:dyDescent="0.35">
      <c r="A43" s="10">
        <v>122</v>
      </c>
      <c r="B43" s="11" t="s">
        <v>65</v>
      </c>
      <c r="C43" s="15" t="str">
        <f t="shared" si="0"/>
        <v>122 - BANCO BRADESCO BERJ S.A.</v>
      </c>
    </row>
    <row r="44" spans="1:3" ht="16.5" x14ac:dyDescent="0.35">
      <c r="A44" s="10">
        <v>124</v>
      </c>
      <c r="B44" s="11" t="s">
        <v>66</v>
      </c>
      <c r="C44" s="15" t="str">
        <f t="shared" si="0"/>
        <v>124 - BANCO WOORI BANK DO BRASIL S.A.</v>
      </c>
    </row>
    <row r="45" spans="1:3" ht="16.5" x14ac:dyDescent="0.35">
      <c r="A45" s="10">
        <v>125</v>
      </c>
      <c r="B45" s="11" t="s">
        <v>67</v>
      </c>
      <c r="C45" s="15" t="str">
        <f t="shared" si="0"/>
        <v>125 - BANCO GENIAL S.A.</v>
      </c>
    </row>
    <row r="46" spans="1:3" ht="16.5" x14ac:dyDescent="0.35">
      <c r="A46" s="10">
        <v>126</v>
      </c>
      <c r="B46" s="11" t="s">
        <v>68</v>
      </c>
      <c r="C46" s="15" t="str">
        <f t="shared" si="0"/>
        <v>126 - BR PARTNERS BANCO DE INVESTIMENTO S.A.</v>
      </c>
    </row>
    <row r="47" spans="1:3" ht="16.5" x14ac:dyDescent="0.35">
      <c r="A47" s="10">
        <v>128</v>
      </c>
      <c r="B47" s="11" t="s">
        <v>69</v>
      </c>
      <c r="C47" s="15" t="str">
        <f t="shared" si="0"/>
        <v>128 - BRAZA BANK S.A. BANCO DE CÂMBIO</v>
      </c>
    </row>
    <row r="48" spans="1:3" ht="16.5" x14ac:dyDescent="0.35">
      <c r="A48" s="10">
        <v>129</v>
      </c>
      <c r="B48" s="11" t="s">
        <v>70</v>
      </c>
      <c r="C48" s="15" t="str">
        <f t="shared" si="0"/>
        <v>129 - UBS BB BANCO DE INVESTIMENTO S.A.</v>
      </c>
    </row>
    <row r="49" spans="1:3" ht="16.5" x14ac:dyDescent="0.35">
      <c r="A49" s="10">
        <v>132</v>
      </c>
      <c r="B49" s="11" t="s">
        <v>71</v>
      </c>
      <c r="C49" s="15" t="str">
        <f t="shared" si="0"/>
        <v>132 - ICBC DO BRASIL BANCO MÚLTIPLO S.A.</v>
      </c>
    </row>
    <row r="50" spans="1:3" ht="16.5" x14ac:dyDescent="0.35">
      <c r="A50" s="10">
        <v>139</v>
      </c>
      <c r="B50" s="11" t="s">
        <v>72</v>
      </c>
      <c r="C50" s="15" t="str">
        <f t="shared" si="0"/>
        <v>139 - INTESA SANPAOLO BRASIL S.A. - BANCO MÚLTIPLO</v>
      </c>
    </row>
    <row r="51" spans="1:3" ht="16.5" x14ac:dyDescent="0.35">
      <c r="A51" s="10">
        <v>143</v>
      </c>
      <c r="B51" s="11" t="s">
        <v>73</v>
      </c>
      <c r="C51" s="15" t="str">
        <f t="shared" si="0"/>
        <v>143 - INTEX BANK BANCO DE CÂMBIO S.A.</v>
      </c>
    </row>
    <row r="52" spans="1:3" ht="16.5" x14ac:dyDescent="0.35">
      <c r="A52" s="10">
        <v>144</v>
      </c>
      <c r="B52" s="11" t="s">
        <v>74</v>
      </c>
      <c r="C52" s="15" t="str">
        <f t="shared" si="0"/>
        <v>144 - EBURY BANCO DE CÂMBIO S.A.</v>
      </c>
    </row>
    <row r="53" spans="1:3" ht="16.5" x14ac:dyDescent="0.35">
      <c r="A53" s="10">
        <v>208</v>
      </c>
      <c r="B53" s="11" t="s">
        <v>75</v>
      </c>
      <c r="C53" s="15" t="str">
        <f t="shared" si="0"/>
        <v>208 - BANCO BTG PACTUAL S.A.</v>
      </c>
    </row>
    <row r="54" spans="1:3" ht="16.5" x14ac:dyDescent="0.35">
      <c r="A54" s="10">
        <v>212</v>
      </c>
      <c r="B54" s="11" t="s">
        <v>76</v>
      </c>
      <c r="C54" s="15" t="str">
        <f t="shared" si="0"/>
        <v>212 - BANCO ORIGINAL S.A.</v>
      </c>
    </row>
    <row r="55" spans="1:3" ht="16.5" x14ac:dyDescent="0.35">
      <c r="A55" s="10">
        <v>213</v>
      </c>
      <c r="B55" s="11" t="s">
        <v>77</v>
      </c>
      <c r="C55" s="15" t="str">
        <f t="shared" si="0"/>
        <v>213 - BANCO ARBI S.A.</v>
      </c>
    </row>
    <row r="56" spans="1:3" ht="16.5" x14ac:dyDescent="0.35">
      <c r="A56" s="10">
        <v>217</v>
      </c>
      <c r="B56" s="11" t="s">
        <v>78</v>
      </c>
      <c r="C56" s="15" t="str">
        <f t="shared" si="0"/>
        <v>217 - BANCO JOHN DEERE S.A.</v>
      </c>
    </row>
    <row r="57" spans="1:3" ht="16.5" x14ac:dyDescent="0.35">
      <c r="A57" s="10">
        <v>218</v>
      </c>
      <c r="B57" s="11" t="s">
        <v>79</v>
      </c>
      <c r="C57" s="15" t="str">
        <f t="shared" si="0"/>
        <v>218 - BANCO BS2 S.A.</v>
      </c>
    </row>
    <row r="58" spans="1:3" ht="16.5" x14ac:dyDescent="0.35">
      <c r="A58" s="10">
        <v>222</v>
      </c>
      <c r="B58" s="11" t="s">
        <v>80</v>
      </c>
      <c r="C58" s="15" t="str">
        <f t="shared" si="0"/>
        <v>222 - BANCO CRÉDIT AGRICOLE BRASIL S.A.</v>
      </c>
    </row>
    <row r="59" spans="1:3" ht="16.5" x14ac:dyDescent="0.35">
      <c r="A59" s="10">
        <v>224</v>
      </c>
      <c r="B59" s="11" t="s">
        <v>81</v>
      </c>
      <c r="C59" s="15" t="str">
        <f t="shared" si="0"/>
        <v>224 - BANCO FIBRA S.A.</v>
      </c>
    </row>
    <row r="60" spans="1:3" ht="16.5" x14ac:dyDescent="0.35">
      <c r="A60" s="10">
        <v>233</v>
      </c>
      <c r="B60" s="11" t="s">
        <v>82</v>
      </c>
      <c r="C60" s="15" t="str">
        <f t="shared" si="0"/>
        <v>233 - BANCO BMG SOLUÇÕES FINANCEIRAS S.A.</v>
      </c>
    </row>
    <row r="61" spans="1:3" ht="16.5" x14ac:dyDescent="0.35">
      <c r="A61" s="10">
        <v>237</v>
      </c>
      <c r="B61" s="11" t="s">
        <v>83</v>
      </c>
      <c r="C61" s="15" t="str">
        <f t="shared" si="0"/>
        <v>237 - BANCO BRADESCO S.A.</v>
      </c>
    </row>
    <row r="62" spans="1:3" ht="16.5" x14ac:dyDescent="0.35">
      <c r="A62" s="10">
        <v>241</v>
      </c>
      <c r="B62" s="11" t="s">
        <v>84</v>
      </c>
      <c r="C62" s="15" t="str">
        <f t="shared" si="0"/>
        <v>241 - BANCO CLASSICO S.A.</v>
      </c>
    </row>
    <row r="63" spans="1:3" ht="16.5" x14ac:dyDescent="0.35">
      <c r="A63" s="10">
        <v>246</v>
      </c>
      <c r="B63" s="11" t="s">
        <v>85</v>
      </c>
      <c r="C63" s="15" t="str">
        <f t="shared" si="0"/>
        <v>246 - BANCO ABC BRASIL S.A.</v>
      </c>
    </row>
    <row r="64" spans="1:3" ht="16.5" x14ac:dyDescent="0.35">
      <c r="A64" s="10">
        <v>249</v>
      </c>
      <c r="B64" s="11" t="s">
        <v>86</v>
      </c>
      <c r="C64" s="15" t="str">
        <f t="shared" si="0"/>
        <v>249 - BANCO INVESTCRED UNIBANCO S.A.</v>
      </c>
    </row>
    <row r="65" spans="1:3" ht="16.5" x14ac:dyDescent="0.35">
      <c r="A65" s="10">
        <v>250</v>
      </c>
      <c r="B65" s="11" t="s">
        <v>87</v>
      </c>
      <c r="C65" s="15" t="str">
        <f t="shared" si="0"/>
        <v>250 - BANCO BMG CONSIGNADO S.A.</v>
      </c>
    </row>
    <row r="66" spans="1:3" ht="16.5" x14ac:dyDescent="0.35">
      <c r="A66" s="10">
        <v>254</v>
      </c>
      <c r="B66" s="11" t="s">
        <v>88</v>
      </c>
      <c r="C66" s="15" t="str">
        <f t="shared" si="0"/>
        <v>254 - PARANÁ BANCO S.A.</v>
      </c>
    </row>
    <row r="67" spans="1:3" ht="16.5" x14ac:dyDescent="0.35">
      <c r="A67" s="10">
        <v>259</v>
      </c>
      <c r="B67" s="11" t="s">
        <v>89</v>
      </c>
      <c r="C67" s="15" t="str">
        <f t="shared" ref="C67:C130" si="1">A67&amp;" - "&amp;B67</f>
        <v>259 - MONEYCORP BANCO DE CÂMBIO S.A.</v>
      </c>
    </row>
    <row r="68" spans="1:3" ht="16.5" x14ac:dyDescent="0.35">
      <c r="A68" s="10">
        <v>265</v>
      </c>
      <c r="B68" s="11" t="s">
        <v>90</v>
      </c>
      <c r="C68" s="15" t="str">
        <f t="shared" si="1"/>
        <v>265 - BANCO FATOR S.A.</v>
      </c>
    </row>
    <row r="69" spans="1:3" ht="16.5" x14ac:dyDescent="0.35">
      <c r="A69" s="10">
        <v>266</v>
      </c>
      <c r="B69" s="11" t="s">
        <v>91</v>
      </c>
      <c r="C69" s="15" t="str">
        <f t="shared" si="1"/>
        <v>266 - BANCO CEDULA S.A.</v>
      </c>
    </row>
    <row r="70" spans="1:3" ht="16.5" x14ac:dyDescent="0.35">
      <c r="A70" s="10">
        <v>269</v>
      </c>
      <c r="B70" s="11" t="s">
        <v>92</v>
      </c>
      <c r="C70" s="15" t="str">
        <f t="shared" si="1"/>
        <v>269 - BANCO HSBC S.A.</v>
      </c>
    </row>
    <row r="71" spans="1:3" ht="16.5" x14ac:dyDescent="0.35">
      <c r="A71" s="10">
        <v>276</v>
      </c>
      <c r="B71" s="11" t="s">
        <v>93</v>
      </c>
      <c r="C71" s="15" t="str">
        <f t="shared" si="1"/>
        <v>276 - BANCO SENFF S.A.</v>
      </c>
    </row>
    <row r="72" spans="1:3" ht="16.5" x14ac:dyDescent="0.35">
      <c r="A72" s="10">
        <v>299</v>
      </c>
      <c r="B72" s="11" t="s">
        <v>94</v>
      </c>
      <c r="C72" s="15" t="str">
        <f t="shared" si="1"/>
        <v>299 - BANCO AFINZ S.A. - BANCO MÚLTIPLO</v>
      </c>
    </row>
    <row r="73" spans="1:3" ht="16.5" x14ac:dyDescent="0.35">
      <c r="A73" s="10">
        <v>300</v>
      </c>
      <c r="B73" s="11" t="s">
        <v>95</v>
      </c>
      <c r="C73" s="15" t="str">
        <f t="shared" si="1"/>
        <v>300 - BANCO DE LA NACION ARGENTINA</v>
      </c>
    </row>
    <row r="74" spans="1:3" ht="16.5" x14ac:dyDescent="0.35">
      <c r="A74" s="10">
        <v>318</v>
      </c>
      <c r="B74" s="11" t="s">
        <v>96</v>
      </c>
      <c r="C74" s="15" t="str">
        <f t="shared" si="1"/>
        <v>318 - BANCO BMG S.A.</v>
      </c>
    </row>
    <row r="75" spans="1:3" ht="16.5" x14ac:dyDescent="0.35">
      <c r="A75" s="10">
        <v>320</v>
      </c>
      <c r="B75" s="11" t="s">
        <v>97</v>
      </c>
      <c r="C75" s="15" t="str">
        <f t="shared" si="1"/>
        <v>320 - BANK OF CHINA (BRASIL) BANCO MÚLTIPLO S/A</v>
      </c>
    </row>
    <row r="76" spans="1:3" ht="16.5" x14ac:dyDescent="0.35">
      <c r="A76" s="10">
        <v>330</v>
      </c>
      <c r="B76" s="11" t="s">
        <v>98</v>
      </c>
      <c r="C76" s="15" t="str">
        <f t="shared" si="1"/>
        <v>330 - BANCO BARI DE INVESTIMENTOS E FINANCIAMENTOS S.A.</v>
      </c>
    </row>
    <row r="77" spans="1:3" ht="16.5" x14ac:dyDescent="0.35">
      <c r="A77" s="10">
        <v>334</v>
      </c>
      <c r="B77" s="11" t="s">
        <v>99</v>
      </c>
      <c r="C77" s="15" t="str">
        <f t="shared" si="1"/>
        <v>334 - BANCO BESA S.A.</v>
      </c>
    </row>
    <row r="78" spans="1:3" ht="16.5" x14ac:dyDescent="0.35">
      <c r="A78" s="10">
        <v>335</v>
      </c>
      <c r="B78" s="11" t="s">
        <v>100</v>
      </c>
      <c r="C78" s="15" t="str">
        <f t="shared" si="1"/>
        <v>335 - BANCO DIGIO S.A.</v>
      </c>
    </row>
    <row r="79" spans="1:3" ht="16.5" x14ac:dyDescent="0.35">
      <c r="A79" s="10">
        <v>336</v>
      </c>
      <c r="B79" s="11" t="s">
        <v>101</v>
      </c>
      <c r="C79" s="15" t="str">
        <f t="shared" si="1"/>
        <v>336 - BANCO C6 S.A.</v>
      </c>
    </row>
    <row r="80" spans="1:3" ht="16.5" x14ac:dyDescent="0.35">
      <c r="A80" s="10">
        <v>341</v>
      </c>
      <c r="B80" s="11" t="s">
        <v>102</v>
      </c>
      <c r="C80" s="15" t="str">
        <f t="shared" si="1"/>
        <v>341 - ITAÚ UNIBANCO S.A.</v>
      </c>
    </row>
    <row r="81" spans="1:3" ht="16.5" x14ac:dyDescent="0.35">
      <c r="A81" s="10">
        <v>348</v>
      </c>
      <c r="B81" s="11" t="s">
        <v>103</v>
      </c>
      <c r="C81" s="15" t="str">
        <f t="shared" si="1"/>
        <v>348 - BANCO XP S.A.</v>
      </c>
    </row>
    <row r="82" spans="1:3" ht="16.5" x14ac:dyDescent="0.35">
      <c r="A82" s="10">
        <v>366</v>
      </c>
      <c r="B82" s="11" t="s">
        <v>104</v>
      </c>
      <c r="C82" s="15" t="str">
        <f t="shared" si="1"/>
        <v>366 - BANCO SOCIETE GENERALE BRASIL S.A.</v>
      </c>
    </row>
    <row r="83" spans="1:3" ht="16.5" x14ac:dyDescent="0.35">
      <c r="A83" s="10">
        <v>368</v>
      </c>
      <c r="B83" s="11" t="s">
        <v>105</v>
      </c>
      <c r="C83" s="15" t="str">
        <f t="shared" si="1"/>
        <v>368 - BANCO CSF S.A.</v>
      </c>
    </row>
    <row r="84" spans="1:3" ht="16.5" x14ac:dyDescent="0.35">
      <c r="A84" s="10">
        <v>370</v>
      </c>
      <c r="B84" s="11" t="s">
        <v>106</v>
      </c>
      <c r="C84" s="15" t="str">
        <f t="shared" si="1"/>
        <v>370 - BANCO MIZUHO DO BRASIL S.A.</v>
      </c>
    </row>
    <row r="85" spans="1:3" ht="16.5" x14ac:dyDescent="0.35">
      <c r="A85" s="10">
        <v>376</v>
      </c>
      <c r="B85" s="11" t="s">
        <v>107</v>
      </c>
      <c r="C85" s="15" t="str">
        <f t="shared" si="1"/>
        <v>376 - BANCO J.P. MORGAN S.A.</v>
      </c>
    </row>
    <row r="86" spans="1:3" ht="16.5" x14ac:dyDescent="0.35">
      <c r="A86" s="10">
        <v>378</v>
      </c>
      <c r="B86" s="11" t="s">
        <v>108</v>
      </c>
      <c r="C86" s="15" t="str">
        <f t="shared" si="1"/>
        <v>378 - BANCO BRASILEIRO DE CRÉDITO SOCIEDADE ANÔNIMA</v>
      </c>
    </row>
    <row r="87" spans="1:3" ht="16.5" x14ac:dyDescent="0.35">
      <c r="A87" s="10">
        <v>381</v>
      </c>
      <c r="B87" s="11" t="s">
        <v>109</v>
      </c>
      <c r="C87" s="15" t="str">
        <f t="shared" si="1"/>
        <v>381 - BANCO MERCEDES-BENZ DO BRASIL S.A.</v>
      </c>
    </row>
    <row r="88" spans="1:3" ht="16.5" x14ac:dyDescent="0.35">
      <c r="A88" s="10">
        <v>387</v>
      </c>
      <c r="B88" s="11" t="s">
        <v>110</v>
      </c>
      <c r="C88" s="15" t="str">
        <f t="shared" si="1"/>
        <v>387 - BANCO TOYOTA DO BRASIL S.A.</v>
      </c>
    </row>
    <row r="89" spans="1:3" ht="16.5" x14ac:dyDescent="0.35">
      <c r="A89" s="10">
        <v>389</v>
      </c>
      <c r="B89" s="11" t="s">
        <v>111</v>
      </c>
      <c r="C89" s="15" t="str">
        <f t="shared" si="1"/>
        <v>389 - BANCO MERCANTIL DO BRASIL S.A.</v>
      </c>
    </row>
    <row r="90" spans="1:3" ht="16.5" x14ac:dyDescent="0.35">
      <c r="A90" s="10">
        <v>390</v>
      </c>
      <c r="B90" s="11" t="s">
        <v>112</v>
      </c>
      <c r="C90" s="15" t="str">
        <f t="shared" si="1"/>
        <v>390 - BANCO GM S.A.</v>
      </c>
    </row>
    <row r="91" spans="1:3" ht="16.5" x14ac:dyDescent="0.35">
      <c r="A91" s="10">
        <v>393</v>
      </c>
      <c r="B91" s="11" t="s">
        <v>113</v>
      </c>
      <c r="C91" s="15" t="str">
        <f t="shared" si="1"/>
        <v>393 - BANCO VOLKSWAGEN S.A.</v>
      </c>
    </row>
    <row r="92" spans="1:3" ht="16.5" x14ac:dyDescent="0.35">
      <c r="A92" s="10">
        <v>394</v>
      </c>
      <c r="B92" s="11" t="s">
        <v>114</v>
      </c>
      <c r="C92" s="15" t="str">
        <f t="shared" si="1"/>
        <v>394 - BANCO BRADESCO FINANCIAMENTOS S.A.</v>
      </c>
    </row>
    <row r="93" spans="1:3" ht="16.5" x14ac:dyDescent="0.35">
      <c r="A93" s="10">
        <v>399</v>
      </c>
      <c r="B93" s="11" t="s">
        <v>115</v>
      </c>
      <c r="C93" s="15" t="str">
        <f t="shared" si="1"/>
        <v>399 - KIRTON BANK S.A. - BANCO MÚLTIPLO</v>
      </c>
    </row>
    <row r="94" spans="1:3" ht="16.5" x14ac:dyDescent="0.35">
      <c r="A94" s="10">
        <v>412</v>
      </c>
      <c r="B94" s="11" t="s">
        <v>116</v>
      </c>
      <c r="C94" s="15" t="str">
        <f t="shared" si="1"/>
        <v>412 - SOCIAL BANK BANCO MÚLTIPLO S/A</v>
      </c>
    </row>
    <row r="95" spans="1:3" ht="16.5" x14ac:dyDescent="0.35">
      <c r="A95" s="10">
        <v>413</v>
      </c>
      <c r="B95" s="11" t="s">
        <v>117</v>
      </c>
      <c r="C95" s="15" t="str">
        <f t="shared" si="1"/>
        <v>413 - BANCO BV S.A.</v>
      </c>
    </row>
    <row r="96" spans="1:3" ht="16.5" x14ac:dyDescent="0.35">
      <c r="A96" s="10">
        <v>415</v>
      </c>
      <c r="B96" s="11" t="s">
        <v>118</v>
      </c>
      <c r="C96" s="15" t="str">
        <f t="shared" si="1"/>
        <v>415 - BANCO NACIONAL S.A.</v>
      </c>
    </row>
    <row r="97" spans="1:3" ht="16.5" x14ac:dyDescent="0.35">
      <c r="A97" s="10">
        <v>422</v>
      </c>
      <c r="B97" s="11" t="s">
        <v>119</v>
      </c>
      <c r="C97" s="15" t="str">
        <f t="shared" si="1"/>
        <v>422 - BANCO SAFRA S.A.</v>
      </c>
    </row>
    <row r="98" spans="1:3" ht="16.5" x14ac:dyDescent="0.35">
      <c r="A98" s="10">
        <v>456</v>
      </c>
      <c r="B98" s="11" t="s">
        <v>120</v>
      </c>
      <c r="C98" s="15" t="str">
        <f t="shared" si="1"/>
        <v>456 - BANCO MUFG BRASIL S.A.</v>
      </c>
    </row>
    <row r="99" spans="1:3" ht="16.5" x14ac:dyDescent="0.35">
      <c r="A99" s="10">
        <v>464</v>
      </c>
      <c r="B99" s="11" t="s">
        <v>121</v>
      </c>
      <c r="C99" s="15" t="str">
        <f t="shared" si="1"/>
        <v>464 - BANCO SUMITOMO MITSUI BRASILEIRO S.A.</v>
      </c>
    </row>
    <row r="100" spans="1:3" ht="16.5" x14ac:dyDescent="0.35">
      <c r="A100" s="10">
        <v>473</v>
      </c>
      <c r="B100" s="11" t="s">
        <v>122</v>
      </c>
      <c r="C100" s="15" t="str">
        <f t="shared" si="1"/>
        <v>473 - BANCO CAIXA GERAL - BRASIL S.A.</v>
      </c>
    </row>
    <row r="101" spans="1:3" ht="16.5" x14ac:dyDescent="0.35">
      <c r="A101" s="10">
        <v>475</v>
      </c>
      <c r="B101" s="11" t="s">
        <v>123</v>
      </c>
      <c r="C101" s="15" t="str">
        <f t="shared" si="1"/>
        <v>475 - BANCO YAMAHA MOTOR DO BRASIL S.A.</v>
      </c>
    </row>
    <row r="102" spans="1:3" ht="16.5" x14ac:dyDescent="0.35">
      <c r="A102" s="10">
        <v>477</v>
      </c>
      <c r="B102" s="11" t="s">
        <v>124</v>
      </c>
      <c r="C102" s="15" t="str">
        <f t="shared" si="1"/>
        <v>477 - CITIBANK N.A.</v>
      </c>
    </row>
    <row r="103" spans="1:3" ht="16.5" x14ac:dyDescent="0.35">
      <c r="A103" s="10">
        <v>479</v>
      </c>
      <c r="B103" s="11" t="s">
        <v>125</v>
      </c>
      <c r="C103" s="15" t="str">
        <f t="shared" si="1"/>
        <v>479 - BANCO ITAUBANK S.A.</v>
      </c>
    </row>
    <row r="104" spans="1:3" ht="16.5" x14ac:dyDescent="0.35">
      <c r="A104" s="10">
        <v>487</v>
      </c>
      <c r="B104" s="11" t="s">
        <v>126</v>
      </c>
      <c r="C104" s="15" t="str">
        <f t="shared" si="1"/>
        <v>487 - DEUTSCHE BANK S.A. - BANCO ALEMAO</v>
      </c>
    </row>
    <row r="105" spans="1:3" ht="16.5" x14ac:dyDescent="0.35">
      <c r="A105" s="10">
        <v>488</v>
      </c>
      <c r="B105" s="11" t="s">
        <v>127</v>
      </c>
      <c r="C105" s="15" t="str">
        <f t="shared" si="1"/>
        <v>488 - JPMORGAN CHASE BANK, NATIONAL ASSOCIATION</v>
      </c>
    </row>
    <row r="106" spans="1:3" ht="16.5" x14ac:dyDescent="0.35">
      <c r="A106" s="10">
        <v>495</v>
      </c>
      <c r="B106" s="11" t="s">
        <v>128</v>
      </c>
      <c r="C106" s="15" t="str">
        <f t="shared" si="1"/>
        <v>495 - BANCO DE LA PROVINCIA DE BUENOS AIRES</v>
      </c>
    </row>
    <row r="107" spans="1:3" ht="16.5" x14ac:dyDescent="0.35">
      <c r="A107" s="10">
        <v>496</v>
      </c>
      <c r="B107" s="11" t="s">
        <v>129</v>
      </c>
      <c r="C107" s="15" t="str">
        <f t="shared" si="1"/>
        <v>496 - BBVA BRASIL BANCO DE INVESTIMENTO S.A.</v>
      </c>
    </row>
    <row r="108" spans="1:3" ht="16.5" x14ac:dyDescent="0.35">
      <c r="A108" s="10">
        <v>505</v>
      </c>
      <c r="B108" s="11" t="s">
        <v>130</v>
      </c>
      <c r="C108" s="15" t="str">
        <f t="shared" si="1"/>
        <v>505 - BANCO UBS (BRASIL) S.A.</v>
      </c>
    </row>
    <row r="109" spans="1:3" ht="16.5" x14ac:dyDescent="0.35">
      <c r="A109" s="10">
        <v>508</v>
      </c>
      <c r="B109" s="11" t="s">
        <v>131</v>
      </c>
      <c r="C109" s="15" t="str">
        <f t="shared" si="1"/>
        <v>508 - AVENUE SECURITIES BANCO DE INVESTIMENTO S.A.</v>
      </c>
    </row>
    <row r="110" spans="1:3" ht="16.5" x14ac:dyDescent="0.35">
      <c r="A110" s="10">
        <v>554</v>
      </c>
      <c r="B110" s="11" t="s">
        <v>132</v>
      </c>
      <c r="C110" s="15" t="str">
        <f t="shared" si="1"/>
        <v>554 - BANCO STONEX S.A.</v>
      </c>
    </row>
    <row r="111" spans="1:3" ht="16.5" x14ac:dyDescent="0.35">
      <c r="A111" s="10">
        <v>600</v>
      </c>
      <c r="B111" s="11" t="s">
        <v>133</v>
      </c>
      <c r="C111" s="15" t="str">
        <f t="shared" si="1"/>
        <v>600 - BANCO LUSO BRASILEIRO S.A.</v>
      </c>
    </row>
    <row r="112" spans="1:3" ht="16.5" x14ac:dyDescent="0.35">
      <c r="A112" s="10">
        <v>604</v>
      </c>
      <c r="B112" s="11" t="s">
        <v>134</v>
      </c>
      <c r="C112" s="15" t="str">
        <f t="shared" si="1"/>
        <v>604 - BANCO INDUSTRIAL DO BRASIL S.A.</v>
      </c>
    </row>
    <row r="113" spans="1:3" ht="16.5" x14ac:dyDescent="0.35">
      <c r="A113" s="10">
        <v>610</v>
      </c>
      <c r="B113" s="11" t="s">
        <v>135</v>
      </c>
      <c r="C113" s="15" t="str">
        <f t="shared" si="1"/>
        <v>610 - BANCO VR S.A.</v>
      </c>
    </row>
    <row r="114" spans="1:3" ht="16.5" x14ac:dyDescent="0.35">
      <c r="A114" s="10">
        <v>611</v>
      </c>
      <c r="B114" s="11" t="s">
        <v>136</v>
      </c>
      <c r="C114" s="15" t="str">
        <f t="shared" si="1"/>
        <v>611 - BANCO PAULISTA S.A.</v>
      </c>
    </row>
    <row r="115" spans="1:3" ht="16.5" x14ac:dyDescent="0.35">
      <c r="A115" s="10">
        <v>612</v>
      </c>
      <c r="B115" s="11" t="s">
        <v>137</v>
      </c>
      <c r="C115" s="15" t="str">
        <f t="shared" si="1"/>
        <v>612 - BANCO GUANABARA S.A.</v>
      </c>
    </row>
    <row r="116" spans="1:3" ht="16.5" x14ac:dyDescent="0.35">
      <c r="A116" s="10">
        <v>613</v>
      </c>
      <c r="B116" s="11" t="s">
        <v>138</v>
      </c>
      <c r="C116" s="15" t="str">
        <f t="shared" si="1"/>
        <v>613 - OMNI BANCO S.A.</v>
      </c>
    </row>
    <row r="117" spans="1:3" ht="16.5" x14ac:dyDescent="0.35">
      <c r="A117" s="10">
        <v>623</v>
      </c>
      <c r="B117" s="11" t="s">
        <v>139</v>
      </c>
      <c r="C117" s="15" t="str">
        <f t="shared" si="1"/>
        <v>623 - BANCO PAN S.A.</v>
      </c>
    </row>
    <row r="118" spans="1:3" ht="16.5" x14ac:dyDescent="0.35">
      <c r="A118" s="10">
        <v>626</v>
      </c>
      <c r="B118" s="11" t="s">
        <v>140</v>
      </c>
      <c r="C118" s="15" t="str">
        <f t="shared" si="1"/>
        <v>626 - BANCO C6 CONSIGNADO S.A.</v>
      </c>
    </row>
    <row r="119" spans="1:3" ht="16.5" x14ac:dyDescent="0.35">
      <c r="A119" s="10">
        <v>633</v>
      </c>
      <c r="B119" s="11" t="s">
        <v>141</v>
      </c>
      <c r="C119" s="15" t="str">
        <f t="shared" si="1"/>
        <v>633 - BANCO RENDIMENTO S.A.</v>
      </c>
    </row>
    <row r="120" spans="1:3" ht="16.5" x14ac:dyDescent="0.35">
      <c r="A120" s="10">
        <v>634</v>
      </c>
      <c r="B120" s="11" t="s">
        <v>142</v>
      </c>
      <c r="C120" s="15" t="str">
        <f t="shared" si="1"/>
        <v>634 - BANCO TRIANGULO S.A.</v>
      </c>
    </row>
    <row r="121" spans="1:3" ht="16.5" x14ac:dyDescent="0.35">
      <c r="A121" s="10">
        <v>637</v>
      </c>
      <c r="B121" s="11" t="s">
        <v>143</v>
      </c>
      <c r="C121" s="15" t="str">
        <f t="shared" si="1"/>
        <v>637 - BANCO SOFISA S.A.</v>
      </c>
    </row>
    <row r="122" spans="1:3" ht="16.5" x14ac:dyDescent="0.35">
      <c r="A122" s="10">
        <v>643</v>
      </c>
      <c r="B122" s="11" t="s">
        <v>144</v>
      </c>
      <c r="C122" s="15" t="str">
        <f t="shared" si="1"/>
        <v>643 - BANCO PINE S.A.</v>
      </c>
    </row>
    <row r="123" spans="1:3" ht="16.5" x14ac:dyDescent="0.35">
      <c r="A123" s="10">
        <v>654</v>
      </c>
      <c r="B123" s="11" t="s">
        <v>145</v>
      </c>
      <c r="C123" s="15" t="str">
        <f t="shared" si="1"/>
        <v>654 - BANCO DIGIMAIS S.A.</v>
      </c>
    </row>
    <row r="124" spans="1:3" ht="16.5" x14ac:dyDescent="0.35">
      <c r="A124" s="10">
        <v>655</v>
      </c>
      <c r="B124" s="11" t="s">
        <v>146</v>
      </c>
      <c r="C124" s="15" t="str">
        <f t="shared" si="1"/>
        <v>655 - BANCO VOTORANTIM S.A.</v>
      </c>
    </row>
    <row r="125" spans="1:3" ht="16.5" x14ac:dyDescent="0.35">
      <c r="A125" s="10">
        <v>707</v>
      </c>
      <c r="B125" s="11" t="s">
        <v>147</v>
      </c>
      <c r="C125" s="15" t="str">
        <f t="shared" si="1"/>
        <v>707 - BANCO DAYCOVAL S.A.</v>
      </c>
    </row>
    <row r="126" spans="1:3" ht="16.5" x14ac:dyDescent="0.35">
      <c r="A126" s="10">
        <v>708</v>
      </c>
      <c r="B126" s="11" t="s">
        <v>148</v>
      </c>
      <c r="C126" s="15" t="str">
        <f t="shared" si="1"/>
        <v>708 - BANCO INDUSCRED DE INVESTIMENTO S.A.</v>
      </c>
    </row>
    <row r="127" spans="1:3" ht="16.5" x14ac:dyDescent="0.35">
      <c r="A127" s="10">
        <v>712</v>
      </c>
      <c r="B127" s="11" t="s">
        <v>149</v>
      </c>
      <c r="C127" s="15" t="str">
        <f t="shared" si="1"/>
        <v>712 - OURIBANK S.A. BANCO MÚLTIPLO</v>
      </c>
    </row>
    <row r="128" spans="1:3" ht="16.5" x14ac:dyDescent="0.35">
      <c r="A128" s="10">
        <v>741</v>
      </c>
      <c r="B128" s="11" t="s">
        <v>150</v>
      </c>
      <c r="C128" s="15" t="str">
        <f t="shared" si="1"/>
        <v>741 - BANCO RIBEIRAO PRETO S.A.</v>
      </c>
    </row>
    <row r="129" spans="1:3" ht="16.5" x14ac:dyDescent="0.35">
      <c r="A129" s="10">
        <v>743</v>
      </c>
      <c r="B129" s="11" t="s">
        <v>151</v>
      </c>
      <c r="C129" s="15" t="str">
        <f t="shared" si="1"/>
        <v>743 - BANCO SEMEAR S.A.</v>
      </c>
    </row>
    <row r="130" spans="1:3" ht="16.5" x14ac:dyDescent="0.35">
      <c r="A130" s="10">
        <v>745</v>
      </c>
      <c r="B130" s="11" t="s">
        <v>152</v>
      </c>
      <c r="C130" s="15" t="str">
        <f t="shared" si="1"/>
        <v>745 - BANCO CITIBANK S.A.</v>
      </c>
    </row>
    <row r="131" spans="1:3" ht="16.5" x14ac:dyDescent="0.35">
      <c r="A131" s="10">
        <v>747</v>
      </c>
      <c r="B131" s="11" t="s">
        <v>153</v>
      </c>
      <c r="C131" s="15" t="str">
        <f t="shared" ref="C131:C140" si="2">A131&amp;" - "&amp;B131</f>
        <v>747 - BANCO RABOBANK INTERNATIONAL BRASIL S.A.</v>
      </c>
    </row>
    <row r="132" spans="1:3" ht="16.5" x14ac:dyDescent="0.35">
      <c r="A132" s="10">
        <v>748</v>
      </c>
      <c r="B132" s="11" t="s">
        <v>154</v>
      </c>
      <c r="C132" s="15" t="str">
        <f t="shared" si="2"/>
        <v>748 - BANCO COOPERATIVO SICREDI S.A.</v>
      </c>
    </row>
    <row r="133" spans="1:3" ht="16.5" x14ac:dyDescent="0.35">
      <c r="A133" s="10">
        <v>751</v>
      </c>
      <c r="B133" s="11" t="s">
        <v>155</v>
      </c>
      <c r="C133" s="15" t="str">
        <f t="shared" si="2"/>
        <v>751 - SCOTIABANK BRASIL S.A. BANCO MÚLTIPLO</v>
      </c>
    </row>
    <row r="134" spans="1:3" ht="16.5" x14ac:dyDescent="0.35">
      <c r="A134" s="10">
        <v>752</v>
      </c>
      <c r="B134" s="11" t="s">
        <v>156</v>
      </c>
      <c r="C134" s="15" t="str">
        <f t="shared" si="2"/>
        <v>752 - BANCO BNP PARIBAS BRASIL S.A.</v>
      </c>
    </row>
    <row r="135" spans="1:3" ht="16.5" x14ac:dyDescent="0.35">
      <c r="A135" s="10">
        <v>753</v>
      </c>
      <c r="B135" s="11" t="s">
        <v>157</v>
      </c>
      <c r="C135" s="15" t="str">
        <f t="shared" si="2"/>
        <v>753 - NOVO BANCO CONTINENTAL S.A. - BANCO MÚLTIPLO</v>
      </c>
    </row>
    <row r="136" spans="1:3" ht="16.5" x14ac:dyDescent="0.35">
      <c r="A136" s="10">
        <v>754</v>
      </c>
      <c r="B136" s="11" t="s">
        <v>158</v>
      </c>
      <c r="C136" s="15" t="str">
        <f t="shared" si="2"/>
        <v>754 - BANCO SISTEMA S.A.</v>
      </c>
    </row>
    <row r="137" spans="1:3" ht="16.5" x14ac:dyDescent="0.35">
      <c r="A137" s="10">
        <v>755</v>
      </c>
      <c r="B137" s="11" t="s">
        <v>159</v>
      </c>
      <c r="C137" s="15" t="str">
        <f t="shared" si="2"/>
        <v>755 - BANK OF AMERICA MERRILL LYNCH BANCO MÚLTIPLO S.A.</v>
      </c>
    </row>
    <row r="138" spans="1:3" ht="16.5" x14ac:dyDescent="0.35">
      <c r="A138" s="10">
        <v>756</v>
      </c>
      <c r="B138" s="11" t="s">
        <v>160</v>
      </c>
      <c r="C138" s="15" t="str">
        <f t="shared" si="2"/>
        <v>756 - BANCO COOPERATIVO SICOOB S.A. - BANCO SICOOB</v>
      </c>
    </row>
    <row r="139" spans="1:3" ht="16.5" x14ac:dyDescent="0.35">
      <c r="A139" s="10">
        <v>757</v>
      </c>
      <c r="B139" s="11" t="s">
        <v>161</v>
      </c>
      <c r="C139" s="15" t="str">
        <f t="shared" si="2"/>
        <v>757 - BANCO KEB HANA DO BRASIL S.A.</v>
      </c>
    </row>
    <row r="140" spans="1:3" ht="16.5" x14ac:dyDescent="0.35">
      <c r="A140" s="10">
        <v>795</v>
      </c>
      <c r="B140" s="11" t="s">
        <v>162</v>
      </c>
      <c r="C140" s="15" t="str">
        <f t="shared" si="2"/>
        <v>795 - BANCO TRATON BRASIL S.A.</v>
      </c>
    </row>
    <row r="141" spans="1:3" ht="16.5" x14ac:dyDescent="0.35">
      <c r="A141" s="10"/>
      <c r="B141" s="11"/>
    </row>
    <row r="142" spans="1:3" ht="16.5" x14ac:dyDescent="0.35">
      <c r="A142" s="10"/>
      <c r="B142" s="11"/>
    </row>
    <row r="143" spans="1:3" ht="16.5" x14ac:dyDescent="0.35">
      <c r="A143" s="10"/>
      <c r="B143" s="11"/>
    </row>
    <row r="144" spans="1:3" ht="16.5" x14ac:dyDescent="0.35">
      <c r="A144" s="10"/>
      <c r="B144" s="11"/>
    </row>
    <row r="145" spans="1:2" ht="16.5" x14ac:dyDescent="0.35">
      <c r="A145" s="10"/>
      <c r="B145" s="11"/>
    </row>
    <row r="146" spans="1:2" ht="16.5" x14ac:dyDescent="0.35">
      <c r="A146" s="10"/>
      <c r="B146" s="11"/>
    </row>
    <row r="147" spans="1:2" ht="16.5" x14ac:dyDescent="0.35">
      <c r="A147" s="10"/>
      <c r="B147" s="11"/>
    </row>
    <row r="148" spans="1:2" ht="16.5" x14ac:dyDescent="0.35">
      <c r="A148" s="10"/>
      <c r="B148" s="11"/>
    </row>
    <row r="149" spans="1:2" ht="16.5" x14ac:dyDescent="0.35">
      <c r="A149" s="10"/>
      <c r="B149" s="11"/>
    </row>
    <row r="150" spans="1:2" ht="16.5" x14ac:dyDescent="0.35">
      <c r="A150" s="10"/>
      <c r="B150" s="11"/>
    </row>
    <row r="151" spans="1:2" ht="16.5" x14ac:dyDescent="0.35">
      <c r="A151" s="10"/>
      <c r="B151" s="11"/>
    </row>
    <row r="152" spans="1:2" ht="16.5" x14ac:dyDescent="0.35">
      <c r="A152" s="10"/>
      <c r="B152" s="11"/>
    </row>
    <row r="153" spans="1:2" ht="16.5" x14ac:dyDescent="0.35">
      <c r="A153" s="10"/>
      <c r="B153" s="11"/>
    </row>
    <row r="154" spans="1:2" ht="16.5" x14ac:dyDescent="0.35">
      <c r="A154" s="10"/>
      <c r="B154" s="11"/>
    </row>
    <row r="155" spans="1:2" ht="16.5" x14ac:dyDescent="0.35">
      <c r="A155" s="10"/>
      <c r="B155" s="11"/>
    </row>
    <row r="156" spans="1:2" ht="16.5" x14ac:dyDescent="0.35">
      <c r="A156" s="10"/>
      <c r="B156" s="11"/>
    </row>
    <row r="157" spans="1:2" ht="16.5" x14ac:dyDescent="0.35">
      <c r="A157" s="10"/>
      <c r="B157" s="11"/>
    </row>
    <row r="158" spans="1:2" ht="16.5" x14ac:dyDescent="0.35">
      <c r="A158" s="10"/>
      <c r="B158" s="11"/>
    </row>
    <row r="159" spans="1:2" ht="16.5" x14ac:dyDescent="0.35">
      <c r="A159" s="10"/>
      <c r="B159" s="11"/>
    </row>
    <row r="160" spans="1:2" ht="16.5" x14ac:dyDescent="0.35">
      <c r="A160" s="10"/>
      <c r="B160" s="11"/>
    </row>
    <row r="161" spans="1:2" ht="16.5" x14ac:dyDescent="0.35">
      <c r="A161" s="10"/>
      <c r="B161" s="11"/>
    </row>
    <row r="162" spans="1:2" ht="16.5" x14ac:dyDescent="0.35">
      <c r="A162" s="10"/>
      <c r="B162" s="11"/>
    </row>
    <row r="163" spans="1:2" ht="16.5" x14ac:dyDescent="0.35">
      <c r="A163" s="10"/>
      <c r="B163" s="11"/>
    </row>
    <row r="164" spans="1:2" ht="16.5" x14ac:dyDescent="0.35">
      <c r="A164" s="10"/>
      <c r="B164" s="11"/>
    </row>
    <row r="165" spans="1:2" ht="16.5" x14ac:dyDescent="0.35">
      <c r="A165" s="10"/>
      <c r="B165" s="11"/>
    </row>
    <row r="166" spans="1:2" ht="16.5" x14ac:dyDescent="0.35">
      <c r="A166" s="10"/>
      <c r="B166" s="11"/>
    </row>
    <row r="167" spans="1:2" ht="16.5" x14ac:dyDescent="0.35">
      <c r="A167" s="10"/>
      <c r="B167" s="11"/>
    </row>
    <row r="168" spans="1:2" ht="16.5" x14ac:dyDescent="0.35">
      <c r="A168" s="10"/>
      <c r="B168" s="11"/>
    </row>
    <row r="169" spans="1:2" ht="16.5" x14ac:dyDescent="0.35">
      <c r="A169" s="10"/>
      <c r="B169" s="11"/>
    </row>
    <row r="170" spans="1:2" ht="16.5" x14ac:dyDescent="0.35">
      <c r="A170" s="10"/>
      <c r="B170" s="11"/>
    </row>
    <row r="171" spans="1:2" ht="16.5" x14ac:dyDescent="0.35">
      <c r="A171" s="10"/>
      <c r="B171" s="1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Titular</vt:lpstr>
      <vt:lpstr>Informes</vt:lpstr>
      <vt:lpstr>Notas</vt:lpstr>
      <vt:lpstr>Tabelas</vt:lpstr>
      <vt:lpstr>Notas!Area_de_impressao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Lauro Spinelli</dc:creator>
  <cp:lastModifiedBy>Lauro Spinelli</cp:lastModifiedBy>
  <dcterms:created xsi:type="dcterms:W3CDTF">2026-09-10T19:34:21Z</dcterms:created>
  <dcterms:modified xsi:type="dcterms:W3CDTF">2026-09-11T02:41:58Z</dcterms:modified>
</cp:coreProperties>
</file>